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C</t>
        </is>
      </c>
      <c r="C1" t="inlineStr">
        <is>
          <t>Cost</t>
        </is>
      </c>
      <c r="D1" t="inlineStr">
        <is>
          <t>A</t>
        </is>
      </c>
      <c r="E1" t="inlineStr">
        <is>
          <t>Speciation_Score</t>
        </is>
      </c>
      <c r="F1" t="inlineStr">
        <is>
          <t>Classic_Score</t>
        </is>
      </c>
      <c r="G1" t="inlineStr">
        <is>
          <t>Image_Link</t>
        </is>
      </c>
    </row>
    <row r="2">
      <c r="A2" t="n">
        <v>1</v>
      </c>
      <c r="B2" t="n">
        <v>0</v>
      </c>
      <c r="C2" t="n">
        <v>0</v>
      </c>
      <c r="D2" t="n">
        <v>0.1</v>
      </c>
      <c r="E2" t="n">
        <v>1.337777777777778</v>
      </c>
      <c r="F2" t="n">
        <v>1.457777777777778</v>
      </c>
      <c r="G2">
        <f>HYPERLINK("c:\Heatmap Final\Sweep_Results_final\A_0.10\Cost_0.00\HM_C_0.00_final.png", "View Heatmap")</f>
        <v/>
      </c>
    </row>
    <row r="3">
      <c r="A3" t="n">
        <v>2</v>
      </c>
      <c r="B3" t="n">
        <v>0.25</v>
      </c>
      <c r="C3" t="n">
        <v>0</v>
      </c>
      <c r="D3" t="n">
        <v>0.1</v>
      </c>
      <c r="E3" t="n">
        <v>1.34</v>
      </c>
      <c r="F3" t="n">
        <v>1.460555555555555</v>
      </c>
      <c r="G3">
        <f>HYPERLINK("c:\Heatmap Final\Sweep_Results_final\A_0.10\Cost_0.00\HM_C_0.25_final.png", "View Heatmap")</f>
        <v/>
      </c>
    </row>
    <row r="4">
      <c r="A4" t="n">
        <v>3</v>
      </c>
      <c r="B4" t="n">
        <v>0.5</v>
      </c>
      <c r="C4" t="n">
        <v>0</v>
      </c>
      <c r="D4" t="n">
        <v>0.1</v>
      </c>
      <c r="E4" t="n">
        <v>1.337222222222222</v>
      </c>
      <c r="F4" t="n">
        <v>1.456666666666667</v>
      </c>
      <c r="G4">
        <f>HYPERLINK("c:\Heatmap Final\Sweep_Results_final\A_0.10\Cost_0.00\HM_C_0.50_final.png", "View Heatmap")</f>
        <v/>
      </c>
    </row>
    <row r="5">
      <c r="A5" t="n">
        <v>4</v>
      </c>
      <c r="B5" t="n">
        <v>0.75</v>
      </c>
      <c r="C5" t="n">
        <v>0</v>
      </c>
      <c r="D5" t="n">
        <v>0.1</v>
      </c>
      <c r="E5" t="n">
        <v>1.338333333333333</v>
      </c>
      <c r="F5" t="n">
        <v>1.457777777777778</v>
      </c>
      <c r="G5">
        <f>HYPERLINK("c:\Heatmap Final\Sweep_Results_final\A_0.10\Cost_0.00\HM_C_0.75_final.png", "View Heatmap")</f>
        <v/>
      </c>
    </row>
    <row r="6">
      <c r="A6" t="n">
        <v>5</v>
      </c>
      <c r="B6" t="n">
        <v>1</v>
      </c>
      <c r="C6" t="n">
        <v>0</v>
      </c>
      <c r="D6" t="n">
        <v>0.1</v>
      </c>
      <c r="E6" t="n">
        <v>1.339444444444445</v>
      </c>
      <c r="F6" t="n">
        <v>1.458888888888889</v>
      </c>
      <c r="G6">
        <f>HYPERLINK("c:\Heatmap Final\Sweep_Results_final\A_0.10\Cost_0.00\HM_C_1.00_final.png", "View Heatmap")</f>
        <v/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n">
        <v>36</v>
      </c>
      <c r="B8" t="n">
        <v>0</v>
      </c>
      <c r="C8" t="n">
        <v>0</v>
      </c>
      <c r="D8" t="n">
        <v>0.25</v>
      </c>
      <c r="E8" t="n">
        <v>1.142777777777778</v>
      </c>
      <c r="F8" t="n">
        <v>1.213333333333333</v>
      </c>
      <c r="G8">
        <f>HYPERLINK("c:\Heatmap Final\Sweep_Results_final\A_0.25\Cost_0.00\HM_C_0.00_final.png", "View Heatmap")</f>
        <v/>
      </c>
    </row>
    <row r="9">
      <c r="A9" t="n">
        <v>37</v>
      </c>
      <c r="B9" t="n">
        <v>0.25</v>
      </c>
      <c r="C9" t="n">
        <v>0</v>
      </c>
      <c r="D9" t="n">
        <v>0.25</v>
      </c>
      <c r="E9" t="n">
        <v>1.133333333333333</v>
      </c>
      <c r="F9" t="n">
        <v>1.203888888888889</v>
      </c>
      <c r="G9">
        <f>HYPERLINK("c:\Heatmap Final\Sweep_Results_final\A_0.25\Cost_0.00\HM_C_0.25_final.png", "View Heatmap")</f>
        <v/>
      </c>
    </row>
    <row r="10">
      <c r="A10" t="n">
        <v>38</v>
      </c>
      <c r="B10" t="n">
        <v>0.5</v>
      </c>
      <c r="C10" t="n">
        <v>0</v>
      </c>
      <c r="D10" t="n">
        <v>0.25</v>
      </c>
      <c r="E10" t="n">
        <v>1.133888888888889</v>
      </c>
      <c r="F10" t="n">
        <v>1.207777777777777</v>
      </c>
      <c r="G10">
        <f>HYPERLINK("c:\Heatmap Final\Sweep_Results_final\A_0.25\Cost_0.00\HM_C_0.50_final.png", "View Heatmap")</f>
        <v/>
      </c>
    </row>
    <row r="11">
      <c r="A11" t="n">
        <v>39</v>
      </c>
      <c r="B11" t="n">
        <v>0.75</v>
      </c>
      <c r="C11" t="n">
        <v>0</v>
      </c>
      <c r="D11" t="n">
        <v>0.25</v>
      </c>
      <c r="E11" t="n">
        <v>1.147222222222222</v>
      </c>
      <c r="F11" t="n">
        <v>1.221666666666666</v>
      </c>
      <c r="G11">
        <f>HYPERLINK("c:\Heatmap Final\Sweep_Results_final\A_0.25\Cost_0.00\HM_C_0.75_final.png", "View Heatmap")</f>
        <v/>
      </c>
    </row>
    <row r="12">
      <c r="A12" t="n">
        <v>40</v>
      </c>
      <c r="B12" t="n">
        <v>1</v>
      </c>
      <c r="C12" t="n">
        <v>0</v>
      </c>
      <c r="D12" t="n">
        <v>0.25</v>
      </c>
      <c r="E12" t="n">
        <v>1.138333333333333</v>
      </c>
      <c r="F12" t="n">
        <v>1.213333333333333</v>
      </c>
      <c r="G12">
        <f>HYPERLINK("c:\Heatmap Final\Sweep_Results_final\A_0.25\Cost_0.00\HM_C_1.00_final.png", "View Heatmap")</f>
        <v/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n">
        <v>71</v>
      </c>
      <c r="B14" t="n">
        <v>0</v>
      </c>
      <c r="C14" t="n">
        <v>0</v>
      </c>
      <c r="D14" t="n">
        <v>0.4</v>
      </c>
      <c r="E14" t="n">
        <v>1.048333333333333</v>
      </c>
      <c r="F14" t="n">
        <v>1.095555555555555</v>
      </c>
      <c r="G14">
        <f>HYPERLINK("c:\Heatmap Final\Sweep_Results_final\A_0.40\Cost_0.00\HM_C_0.00_final.png", "View Heatmap")</f>
        <v/>
      </c>
    </row>
    <row r="15">
      <c r="A15" t="n">
        <v>72</v>
      </c>
      <c r="B15" t="n">
        <v>0.25</v>
      </c>
      <c r="C15" t="n">
        <v>0</v>
      </c>
      <c r="D15" t="n">
        <v>0.4</v>
      </c>
      <c r="E15" t="n">
        <v>1.045555555555556</v>
      </c>
      <c r="F15" t="n">
        <v>1.093888888888889</v>
      </c>
      <c r="G15">
        <f>HYPERLINK("c:\Heatmap Final\Sweep_Results_final\A_0.40\Cost_0.00\HM_C_0.25_final.png", "View Heatmap")</f>
        <v/>
      </c>
    </row>
    <row r="16">
      <c r="A16" t="n">
        <v>73</v>
      </c>
      <c r="B16" t="n">
        <v>0.5</v>
      </c>
      <c r="C16" t="n">
        <v>0</v>
      </c>
      <c r="D16" t="n">
        <v>0.4</v>
      </c>
      <c r="E16" t="n">
        <v>1.046666666666667</v>
      </c>
      <c r="F16" t="n">
        <v>1.095</v>
      </c>
      <c r="G16">
        <f>HYPERLINK("c:\Heatmap Final\Sweep_Results_final\A_0.40\Cost_0.00\HM_C_0.50_final.png", "View Heatmap")</f>
        <v/>
      </c>
    </row>
    <row r="17">
      <c r="A17" t="n">
        <v>74</v>
      </c>
      <c r="B17" t="n">
        <v>0.75</v>
      </c>
      <c r="C17" t="n">
        <v>0</v>
      </c>
      <c r="D17" t="n">
        <v>0.4</v>
      </c>
      <c r="E17" t="n">
        <v>1.047777777777778</v>
      </c>
      <c r="F17" t="n">
        <v>1.096111111111111</v>
      </c>
      <c r="G17">
        <f>HYPERLINK("c:\Heatmap Final\Sweep_Results_final\A_0.40\Cost_0.00\HM_C_0.75_final.png", "View Heatmap")</f>
        <v/>
      </c>
    </row>
    <row r="18">
      <c r="A18" t="n">
        <v>75</v>
      </c>
      <c r="B18" t="n">
        <v>1</v>
      </c>
      <c r="C18" t="n">
        <v>0</v>
      </c>
      <c r="D18" t="n">
        <v>0.4</v>
      </c>
      <c r="E18" t="n">
        <v>1.05</v>
      </c>
      <c r="F18" t="n">
        <v>1.098333333333333</v>
      </c>
      <c r="G18">
        <f>HYPERLINK("c:\Heatmap Final\Sweep_Results_final\A_0.40\Cost_0.00\HM_C_1.00_final.png", "View Heatmap")</f>
        <v/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n">
        <v>106</v>
      </c>
      <c r="B20" t="n">
        <v>0</v>
      </c>
      <c r="C20" t="n">
        <v>0</v>
      </c>
      <c r="D20" t="n">
        <v>0.55</v>
      </c>
      <c r="E20" t="n">
        <v>1.061111111111111</v>
      </c>
      <c r="F20" t="n">
        <v>1.114444444444444</v>
      </c>
      <c r="G20">
        <f>HYPERLINK("c:\Heatmap Final\Sweep_Results_final\A_0.55\Cost_0.00\HM_C_0.00_final.png", "View Heatmap")</f>
        <v/>
      </c>
    </row>
    <row r="21">
      <c r="A21" t="n">
        <v>107</v>
      </c>
      <c r="B21" t="n">
        <v>0.25</v>
      </c>
      <c r="C21" t="n">
        <v>0</v>
      </c>
      <c r="D21" t="n">
        <v>0.55</v>
      </c>
      <c r="E21" t="n">
        <v>1.06</v>
      </c>
      <c r="F21" t="n">
        <v>1.112222222222222</v>
      </c>
      <c r="G21">
        <f>HYPERLINK("c:\Heatmap Final\Sweep_Results_final\A_0.55\Cost_0.00\HM_C_0.25_final.png", "View Heatmap")</f>
        <v/>
      </c>
    </row>
    <row r="22">
      <c r="A22" t="n">
        <v>108</v>
      </c>
      <c r="B22" t="n">
        <v>0.5</v>
      </c>
      <c r="C22" t="n">
        <v>0</v>
      </c>
      <c r="D22" t="n">
        <v>0.55</v>
      </c>
      <c r="E22" t="n">
        <v>1.063888888888889</v>
      </c>
      <c r="F22" t="n">
        <v>1.115</v>
      </c>
      <c r="G22">
        <f>HYPERLINK("c:\Heatmap Final\Sweep_Results_final\A_0.55\Cost_0.00\HM_C_0.50_final.png", "View Heatmap")</f>
        <v/>
      </c>
    </row>
    <row r="23">
      <c r="A23" t="n">
        <v>109</v>
      </c>
      <c r="B23" t="n">
        <v>0.75</v>
      </c>
      <c r="C23" t="n">
        <v>0</v>
      </c>
      <c r="D23" t="n">
        <v>0.55</v>
      </c>
      <c r="E23" t="n">
        <v>1.058888888888889</v>
      </c>
      <c r="F23" t="n">
        <v>1.111111111111111</v>
      </c>
      <c r="G23">
        <f>HYPERLINK("c:\Heatmap Final\Sweep_Results_final\A_0.55\Cost_0.00\HM_C_0.75_final.png", "View Heatmap")</f>
        <v/>
      </c>
    </row>
    <row r="24">
      <c r="A24" t="n">
        <v>110</v>
      </c>
      <c r="B24" t="n">
        <v>1</v>
      </c>
      <c r="C24" t="n">
        <v>0</v>
      </c>
      <c r="D24" t="n">
        <v>0.55</v>
      </c>
      <c r="E24" t="n">
        <v>1.063888888888889</v>
      </c>
      <c r="F24" t="n">
        <v>1.116666666666667</v>
      </c>
      <c r="G24">
        <f>HYPERLINK("c:\Heatmap Final\Sweep_Results_final\A_0.55\Cost_0.00\HM_C_1.00_final.png", "View Heatmap")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n">
        <v>141</v>
      </c>
      <c r="B26" t="n">
        <v>0</v>
      </c>
      <c r="C26" t="n">
        <v>0</v>
      </c>
      <c r="D26" t="n">
        <v>0.7</v>
      </c>
      <c r="E26" t="n">
        <v>1.028888888888889</v>
      </c>
      <c r="F26" t="n">
        <v>1.037222222222222</v>
      </c>
      <c r="G26">
        <f>HYPERLINK("c:\Heatmap Final\Sweep_Results_final\A_0.70\Cost_0.00\HM_C_0.00_final.png", "View Heatmap")</f>
        <v/>
      </c>
    </row>
    <row r="27">
      <c r="A27" t="n">
        <v>142</v>
      </c>
      <c r="B27" t="n">
        <v>0.25</v>
      </c>
      <c r="C27" t="n">
        <v>0</v>
      </c>
      <c r="D27" t="n">
        <v>0.7</v>
      </c>
      <c r="E27" t="n">
        <v>1.025555555555556</v>
      </c>
      <c r="F27" t="n">
        <v>1.034444444444444</v>
      </c>
      <c r="G27">
        <f>HYPERLINK("c:\Heatmap Final\Sweep_Results_final\A_0.70\Cost_0.00\HM_C_0.25_final.png", "View Heatmap")</f>
        <v/>
      </c>
    </row>
    <row r="28">
      <c r="A28" t="n">
        <v>143</v>
      </c>
      <c r="B28" t="n">
        <v>0.5</v>
      </c>
      <c r="C28" t="n">
        <v>0</v>
      </c>
      <c r="D28" t="n">
        <v>0.7</v>
      </c>
      <c r="E28" t="n">
        <v>1.026111111111111</v>
      </c>
      <c r="F28" t="n">
        <v>1.031111111111111</v>
      </c>
      <c r="G28">
        <f>HYPERLINK("c:\Heatmap Final\Sweep_Results_final\A_0.70\Cost_0.00\HM_C_0.50_final.png", "View Heatmap")</f>
        <v/>
      </c>
    </row>
    <row r="29">
      <c r="A29" t="n">
        <v>144</v>
      </c>
      <c r="B29" t="n">
        <v>0.75</v>
      </c>
      <c r="C29" t="n">
        <v>0</v>
      </c>
      <c r="D29" t="n">
        <v>0.7</v>
      </c>
      <c r="E29" t="n">
        <v>1.027222222222222</v>
      </c>
      <c r="F29" t="n">
        <v>1.031666666666667</v>
      </c>
      <c r="G29">
        <f>HYPERLINK("c:\Heatmap Final\Sweep_Results_final\A_0.70\Cost_0.00\HM_C_0.75_final.png", "View Heatmap")</f>
        <v/>
      </c>
    </row>
    <row r="30">
      <c r="A30" t="n">
        <v>145</v>
      </c>
      <c r="B30" t="n">
        <v>1</v>
      </c>
      <c r="C30" t="n">
        <v>0</v>
      </c>
      <c r="D30" t="n">
        <v>0.7</v>
      </c>
      <c r="E30" t="n">
        <v>1.03</v>
      </c>
      <c r="F30" t="n">
        <v>1.041111111111111</v>
      </c>
      <c r="G30">
        <f>HYPERLINK("c:\Heatmap Final\Sweep_Results_final\A_0.70\Cost_0.00\HM_C_1.00_final.png", "View Heatmap")</f>
        <v/>
      </c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n">
        <v>176</v>
      </c>
      <c r="B32" t="n">
        <v>0</v>
      </c>
      <c r="C32" t="n">
        <v>0</v>
      </c>
      <c r="D32" t="n">
        <v>0.85</v>
      </c>
      <c r="E32" t="n">
        <v>1.009444444444444</v>
      </c>
      <c r="F32" t="n">
        <v>1.01</v>
      </c>
      <c r="G32">
        <f>HYPERLINK("c:\Heatmap Final\Sweep_Results_final\A_0.85\Cost_0.00\HM_C_0.00_final.png", "View Heatmap")</f>
        <v/>
      </c>
    </row>
    <row r="33">
      <c r="A33" t="n">
        <v>177</v>
      </c>
      <c r="B33" t="n">
        <v>0.25</v>
      </c>
      <c r="C33" t="n">
        <v>0</v>
      </c>
      <c r="D33" t="n">
        <v>0.85</v>
      </c>
      <c r="E33" t="n">
        <v>1.01</v>
      </c>
      <c r="F33" t="n">
        <v>1.01</v>
      </c>
      <c r="G33">
        <f>HYPERLINK("c:\Heatmap Final\Sweep_Results_final\A_0.85\Cost_0.00\HM_C_0.25_final.png", "View Heatmap")</f>
        <v/>
      </c>
    </row>
    <row r="34">
      <c r="A34" t="n">
        <v>178</v>
      </c>
      <c r="B34" t="n">
        <v>0.5</v>
      </c>
      <c r="C34" t="n">
        <v>0</v>
      </c>
      <c r="D34" t="n">
        <v>0.85</v>
      </c>
      <c r="E34" t="n">
        <v>1.007777777777778</v>
      </c>
      <c r="F34" t="n">
        <v>1.007777777777778</v>
      </c>
      <c r="G34">
        <f>HYPERLINK("c:\Heatmap Final\Sweep_Results_final\A_0.85\Cost_0.00\HM_C_0.50_final.png", "View Heatmap")</f>
        <v/>
      </c>
    </row>
    <row r="35">
      <c r="A35" t="n">
        <v>179</v>
      </c>
      <c r="B35" t="n">
        <v>0.75</v>
      </c>
      <c r="C35" t="n">
        <v>0</v>
      </c>
      <c r="D35" t="n">
        <v>0.85</v>
      </c>
      <c r="E35" t="n">
        <v>1.009444444444444</v>
      </c>
      <c r="F35" t="n">
        <v>1.011111111111111</v>
      </c>
      <c r="G35">
        <f>HYPERLINK("c:\Heatmap Final\Sweep_Results_final\A_0.85\Cost_0.00\HM_C_0.75_final.png", "View Heatmap")</f>
        <v/>
      </c>
    </row>
    <row r="36">
      <c r="A36" t="n">
        <v>180</v>
      </c>
      <c r="B36" t="n">
        <v>1</v>
      </c>
      <c r="C36" t="n">
        <v>0</v>
      </c>
      <c r="D36" t="n">
        <v>0.85</v>
      </c>
      <c r="E36" t="n">
        <v>1.009444444444444</v>
      </c>
      <c r="F36" t="n">
        <v>1.010555555555556</v>
      </c>
      <c r="G36">
        <f>HYPERLINK("c:\Heatmap Final\Sweep_Results_final\A_0.85\Cost_0.00\HM_C_1.00_final.png", "View Heatmap")</f>
        <v/>
      </c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n">
        <v>211</v>
      </c>
      <c r="B38" t="n">
        <v>0</v>
      </c>
      <c r="C38" t="n">
        <v>0</v>
      </c>
      <c r="D38" t="n">
        <v>1</v>
      </c>
      <c r="E38" t="n">
        <v>1.017777777777778</v>
      </c>
      <c r="F38" t="n">
        <v>1.018888888888889</v>
      </c>
      <c r="G38">
        <f>HYPERLINK("c:\Heatmap Final\Sweep_Results_final\A_1.00\Cost_0.00\HM_C_0.00_final.png", "View Heatmap")</f>
        <v/>
      </c>
    </row>
    <row r="39">
      <c r="A39" t="n">
        <v>212</v>
      </c>
      <c r="B39" t="n">
        <v>0.25</v>
      </c>
      <c r="C39" t="n">
        <v>0</v>
      </c>
      <c r="D39" t="n">
        <v>1</v>
      </c>
      <c r="E39" t="n">
        <v>1.013888888888889</v>
      </c>
      <c r="F39" t="n">
        <v>1.015</v>
      </c>
      <c r="G39">
        <f>HYPERLINK("c:\Heatmap Final\Sweep_Results_final\A_1.00\Cost_0.00\HM_C_0.25_final.png", "View Heatmap")</f>
        <v/>
      </c>
    </row>
    <row r="40">
      <c r="A40" t="n">
        <v>213</v>
      </c>
      <c r="B40" t="n">
        <v>0.5</v>
      </c>
      <c r="C40" t="n">
        <v>0</v>
      </c>
      <c r="D40" t="n">
        <v>1</v>
      </c>
      <c r="E40" t="n">
        <v>1.011111111111111</v>
      </c>
      <c r="F40" t="n">
        <v>1.011111111111111</v>
      </c>
      <c r="G40">
        <f>HYPERLINK("c:\Heatmap Final\Sweep_Results_final\A_1.00\Cost_0.00\HM_C_0.50_final.png", "View Heatmap")</f>
        <v/>
      </c>
    </row>
    <row r="41">
      <c r="A41" t="n">
        <v>214</v>
      </c>
      <c r="B41" t="n">
        <v>0.75</v>
      </c>
      <c r="C41" t="n">
        <v>0</v>
      </c>
      <c r="D41" t="n">
        <v>1</v>
      </c>
      <c r="E41" t="n">
        <v>1.015</v>
      </c>
      <c r="F41" t="n">
        <v>1.015555555555556</v>
      </c>
      <c r="G41">
        <f>HYPERLINK("c:\Heatmap Final\Sweep_Results_final\A_1.00\Cost_0.00\HM_C_0.75_final.png", "View Heatmap")</f>
        <v/>
      </c>
    </row>
    <row r="42">
      <c r="A42" t="n">
        <v>215</v>
      </c>
      <c r="B42" t="n">
        <v>1</v>
      </c>
      <c r="C42" t="n">
        <v>0</v>
      </c>
      <c r="D42" t="n">
        <v>1</v>
      </c>
      <c r="E42" t="n">
        <v>1.013888888888889</v>
      </c>
      <c r="F42" t="n">
        <v>1.015</v>
      </c>
      <c r="G42">
        <f>HYPERLINK("c:\Heatmap Final\Sweep_Results_final\A_1.00\Cost_0.00\HM_C_1.00_final.png", "View Heatmap")</f>
        <v/>
      </c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n">
        <v>6</v>
      </c>
      <c r="B44" t="n">
        <v>0</v>
      </c>
      <c r="C44" t="n">
        <v>0.25</v>
      </c>
      <c r="D44" t="n">
        <v>0.1</v>
      </c>
      <c r="E44" t="n">
        <v>1.361666666666667</v>
      </c>
      <c r="F44" t="n">
        <v>1.494444444444444</v>
      </c>
      <c r="G44">
        <f>HYPERLINK("c:\Heatmap Final\Sweep_Results_final\A_0.10\Cost_0.25\HM_C_0.00_final.png", "View Heatmap")</f>
        <v/>
      </c>
    </row>
    <row r="45">
      <c r="A45" t="n">
        <v>7</v>
      </c>
      <c r="B45" t="n">
        <v>0.25</v>
      </c>
      <c r="C45" t="n">
        <v>0.25</v>
      </c>
      <c r="D45" t="n">
        <v>0.1</v>
      </c>
      <c r="E45" t="n">
        <v>1.364444444444444</v>
      </c>
      <c r="F45" t="n">
        <v>1.500555555555556</v>
      </c>
      <c r="G45">
        <f>HYPERLINK("c:\Heatmap Final\Sweep_Results_final\A_0.10\Cost_0.25\HM_C_0.25_final.png", "View Heatmap")</f>
        <v/>
      </c>
    </row>
    <row r="46">
      <c r="A46" t="n">
        <v>8</v>
      </c>
      <c r="B46" t="n">
        <v>0.5</v>
      </c>
      <c r="C46" t="n">
        <v>0.25</v>
      </c>
      <c r="D46" t="n">
        <v>0.1</v>
      </c>
      <c r="E46" t="n">
        <v>1.368888888888889</v>
      </c>
      <c r="F46" t="n">
        <v>1.505555555555556</v>
      </c>
      <c r="G46">
        <f>HYPERLINK("c:\Heatmap Final\Sweep_Results_final\A_0.10\Cost_0.25\HM_C_0.50_final.png", "View Heatmap")</f>
        <v/>
      </c>
    </row>
    <row r="47">
      <c r="A47" t="n">
        <v>9</v>
      </c>
      <c r="B47" t="n">
        <v>0.75</v>
      </c>
      <c r="C47" t="n">
        <v>0.25</v>
      </c>
      <c r="D47" t="n">
        <v>0.1</v>
      </c>
      <c r="E47" t="n">
        <v>1.377222222222222</v>
      </c>
      <c r="F47" t="n">
        <v>1.515555555555555</v>
      </c>
      <c r="G47">
        <f>HYPERLINK("c:\Heatmap Final\Sweep_Results_final\A_0.10\Cost_0.25\HM_C_0.75_final.png", "View Heatmap")</f>
        <v/>
      </c>
    </row>
    <row r="48">
      <c r="A48" t="n">
        <v>10</v>
      </c>
      <c r="B48" t="n">
        <v>1</v>
      </c>
      <c r="C48" t="n">
        <v>0.25</v>
      </c>
      <c r="D48" t="n">
        <v>0.1</v>
      </c>
      <c r="E48" t="n">
        <v>1.381666666666667</v>
      </c>
      <c r="F48" t="n">
        <v>1.523888888888889</v>
      </c>
      <c r="G48">
        <f>HYPERLINK("c:\Heatmap Final\Sweep_Results_final\A_0.10\Cost_0.25\HM_C_1.00_final.png", "View Heatmap")</f>
        <v/>
      </c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n">
        <v>41</v>
      </c>
      <c r="B50" t="n">
        <v>0</v>
      </c>
      <c r="C50" t="n">
        <v>0.25</v>
      </c>
      <c r="D50" t="n">
        <v>0.25</v>
      </c>
      <c r="E50" t="n">
        <v>1.392222222222222</v>
      </c>
      <c r="F50" t="n">
        <v>1.531111111111111</v>
      </c>
      <c r="G50">
        <f>HYPERLINK("c:\Heatmap Final\Sweep_Results_final\A_0.25\Cost_0.25\HM_C_0.00_final.png", "View Heatmap")</f>
        <v/>
      </c>
    </row>
    <row r="51">
      <c r="A51" t="n">
        <v>42</v>
      </c>
      <c r="B51" t="n">
        <v>0.25</v>
      </c>
      <c r="C51" t="n">
        <v>0.25</v>
      </c>
      <c r="D51" t="n">
        <v>0.25</v>
      </c>
      <c r="E51" t="n">
        <v>1.396666666666667</v>
      </c>
      <c r="F51" t="n">
        <v>1.520555555555555</v>
      </c>
      <c r="G51">
        <f>HYPERLINK("c:\Heatmap Final\Sweep_Results_final\A_0.25\Cost_0.25\HM_C_0.25_final.png", "View Heatmap")</f>
        <v/>
      </c>
    </row>
    <row r="52">
      <c r="A52" t="n">
        <v>43</v>
      </c>
      <c r="B52" t="n">
        <v>0.5</v>
      </c>
      <c r="C52" t="n">
        <v>0.25</v>
      </c>
      <c r="D52" t="n">
        <v>0.25</v>
      </c>
      <c r="E52" t="n">
        <v>1.404444444444444</v>
      </c>
      <c r="F52" t="n">
        <v>1.526666666666666</v>
      </c>
      <c r="G52">
        <f>HYPERLINK("c:\Heatmap Final\Sweep_Results_final\A_0.25\Cost_0.25\HM_C_0.50_final.png", "View Heatmap")</f>
        <v/>
      </c>
    </row>
    <row r="53">
      <c r="A53" t="n">
        <v>44</v>
      </c>
      <c r="B53" t="n">
        <v>0.75</v>
      </c>
      <c r="C53" t="n">
        <v>0.25</v>
      </c>
      <c r="D53" t="n">
        <v>0.25</v>
      </c>
      <c r="E53" t="n">
        <v>1.388333333333333</v>
      </c>
      <c r="F53" t="n">
        <v>1.478333333333333</v>
      </c>
      <c r="G53">
        <f>HYPERLINK("c:\Heatmap Final\Sweep_Results_final\A_0.25\Cost_0.25\HM_C_0.75_final.png", "View Heatmap")</f>
        <v/>
      </c>
    </row>
    <row r="54">
      <c r="A54" t="n">
        <v>45</v>
      </c>
      <c r="B54" t="n">
        <v>1</v>
      </c>
      <c r="C54" t="n">
        <v>0.25</v>
      </c>
      <c r="D54" t="n">
        <v>0.25</v>
      </c>
      <c r="E54" t="n">
        <v>1.292222222222222</v>
      </c>
      <c r="F54" t="n">
        <v>1.363888888888889</v>
      </c>
      <c r="G54">
        <f>HYPERLINK("c:\Heatmap Final\Sweep_Results_final\A_0.25\Cost_0.25\HM_C_1.00_final.png", "View Heatmap")</f>
        <v/>
      </c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n">
        <v>76</v>
      </c>
      <c r="B56" t="n">
        <v>0</v>
      </c>
      <c r="C56" t="n">
        <v>0.25</v>
      </c>
      <c r="D56" t="n">
        <v>0.4</v>
      </c>
      <c r="E56" t="n">
        <v>1.518333333333333</v>
      </c>
      <c r="F56" t="n">
        <v>1.776666666666666</v>
      </c>
      <c r="G56">
        <f>HYPERLINK("c:\Heatmap Final\Sweep_Results_final\A_0.40\Cost_0.25\HM_C_0.00_final.png", "View Heatmap")</f>
        <v/>
      </c>
    </row>
    <row r="57">
      <c r="A57" t="n">
        <v>77</v>
      </c>
      <c r="B57" t="n">
        <v>0.25</v>
      </c>
      <c r="C57" t="n">
        <v>0.25</v>
      </c>
      <c r="D57" t="n">
        <v>0.4</v>
      </c>
      <c r="E57" t="n">
        <v>1.517222222222222</v>
      </c>
      <c r="F57" t="n">
        <v>1.715</v>
      </c>
      <c r="G57">
        <f>HYPERLINK("c:\Heatmap Final\Sweep_Results_final\A_0.40\Cost_0.25\HM_C_0.25_final.png", "View Heatmap")</f>
        <v/>
      </c>
    </row>
    <row r="58">
      <c r="A58" t="n">
        <v>78</v>
      </c>
      <c r="B58" t="n">
        <v>0.5</v>
      </c>
      <c r="C58" t="n">
        <v>0.25</v>
      </c>
      <c r="D58" t="n">
        <v>0.4</v>
      </c>
      <c r="E58" t="n">
        <v>1.510555555555556</v>
      </c>
      <c r="F58" t="n">
        <v>1.65</v>
      </c>
      <c r="G58">
        <f>HYPERLINK("c:\Heatmap Final\Sweep_Results_final\A_0.40\Cost_0.25\HM_C_0.50_final.png", "View Heatmap")</f>
        <v/>
      </c>
    </row>
    <row r="59">
      <c r="A59" t="n">
        <v>79</v>
      </c>
      <c r="B59" t="n">
        <v>0.75</v>
      </c>
      <c r="C59" t="n">
        <v>0.25</v>
      </c>
      <c r="D59" t="n">
        <v>0.4</v>
      </c>
      <c r="E59" t="n">
        <v>1.483888888888889</v>
      </c>
      <c r="F59" t="n">
        <v>1.582777777777778</v>
      </c>
      <c r="G59">
        <f>HYPERLINK("c:\Heatmap Final\Sweep_Results_final\A_0.40\Cost_0.25\HM_C_0.75_final.png", "View Heatmap")</f>
        <v/>
      </c>
    </row>
    <row r="60">
      <c r="A60" t="n">
        <v>80</v>
      </c>
      <c r="B60" t="n">
        <v>1</v>
      </c>
      <c r="C60" t="n">
        <v>0.25</v>
      </c>
      <c r="D60" t="n">
        <v>0.4</v>
      </c>
      <c r="E60" t="n">
        <v>1.150555555555556</v>
      </c>
      <c r="F60" t="n">
        <v>1.218888888888889</v>
      </c>
      <c r="G60">
        <f>HYPERLINK("c:\Heatmap Final\Sweep_Results_final\A_0.40\Cost_0.25\HM_C_1.00_final.png", "View Heatmap")</f>
        <v/>
      </c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n">
        <v>111</v>
      </c>
      <c r="B62" t="n">
        <v>0</v>
      </c>
      <c r="C62" t="n">
        <v>0.25</v>
      </c>
      <c r="D62" t="n">
        <v>0.55</v>
      </c>
      <c r="E62" t="n">
        <v>1.632777777777778</v>
      </c>
      <c r="F62" t="n">
        <v>2.040555555555556</v>
      </c>
      <c r="G62">
        <f>HYPERLINK("c:\Heatmap Final\Sweep_Results_final\A_0.55\Cost_0.25\HM_C_0.00_final.png", "View Heatmap")</f>
        <v/>
      </c>
    </row>
    <row r="63">
      <c r="A63" t="n">
        <v>112</v>
      </c>
      <c r="B63" t="n">
        <v>0.25</v>
      </c>
      <c r="C63" t="n">
        <v>0.25</v>
      </c>
      <c r="D63" t="n">
        <v>0.55</v>
      </c>
      <c r="E63" t="n">
        <v>1.641111111111111</v>
      </c>
      <c r="F63" t="n">
        <v>1.963333333333333</v>
      </c>
      <c r="G63">
        <f>HYPERLINK("c:\Heatmap Final\Sweep_Results_final\A_0.55\Cost_0.25\HM_C_0.25_final.png", "View Heatmap")</f>
        <v/>
      </c>
    </row>
    <row r="64">
      <c r="A64" t="n">
        <v>113</v>
      </c>
      <c r="B64" t="n">
        <v>0.5</v>
      </c>
      <c r="C64" t="n">
        <v>0.25</v>
      </c>
      <c r="D64" t="n">
        <v>0.55</v>
      </c>
      <c r="E64" t="n">
        <v>1.666111111111112</v>
      </c>
      <c r="F64" t="n">
        <v>1.844444444444445</v>
      </c>
      <c r="G64">
        <f>HYPERLINK("c:\Heatmap Final\Sweep_Results_final\A_0.55\Cost_0.25\HM_C_0.50_final.png", "View Heatmap")</f>
        <v/>
      </c>
    </row>
    <row r="65">
      <c r="A65" t="n">
        <v>114</v>
      </c>
      <c r="B65" t="n">
        <v>0.75</v>
      </c>
      <c r="C65" t="n">
        <v>0.25</v>
      </c>
      <c r="D65" t="n">
        <v>0.55</v>
      </c>
      <c r="E65" t="n">
        <v>1.488888888888889</v>
      </c>
      <c r="F65" t="n">
        <v>1.622777777777778</v>
      </c>
      <c r="G65">
        <f>HYPERLINK("c:\Heatmap Final\Sweep_Results_final\A_0.55\Cost_0.25\HM_C_0.75_final.png", "View Heatmap")</f>
        <v/>
      </c>
    </row>
    <row r="66">
      <c r="A66" t="n">
        <v>115</v>
      </c>
      <c r="B66" t="n">
        <v>1</v>
      </c>
      <c r="C66" t="n">
        <v>0.25</v>
      </c>
      <c r="D66" t="n">
        <v>0.55</v>
      </c>
      <c r="E66" t="n">
        <v>1.152222222222222</v>
      </c>
      <c r="F66" t="n">
        <v>1.249444444444444</v>
      </c>
      <c r="G66">
        <f>HYPERLINK("c:\Heatmap Final\Sweep_Results_final\A_0.55\Cost_0.25\HM_C_1.00_final.png", "View Heatmap")</f>
        <v/>
      </c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n">
        <v>146</v>
      </c>
      <c r="B68" t="n">
        <v>0</v>
      </c>
      <c r="C68" t="n">
        <v>0.25</v>
      </c>
      <c r="D68" t="n">
        <v>0.7</v>
      </c>
      <c r="E68" t="n">
        <v>1.696111111111111</v>
      </c>
      <c r="F68" t="n">
        <v>2.190555555555555</v>
      </c>
      <c r="G68">
        <f>HYPERLINK("c:\Heatmap Final\Sweep_Results_final\A_0.70\Cost_0.25\HM_C_0.00_final.png", "View Heatmap")</f>
        <v/>
      </c>
    </row>
    <row r="69">
      <c r="A69" t="n">
        <v>147</v>
      </c>
      <c r="B69" t="n">
        <v>0.25</v>
      </c>
      <c r="C69" t="n">
        <v>0.25</v>
      </c>
      <c r="D69" t="n">
        <v>0.7</v>
      </c>
      <c r="E69" t="n">
        <v>1.712777777777778</v>
      </c>
      <c r="F69" t="n">
        <v>2.130555555555555</v>
      </c>
      <c r="G69">
        <f>HYPERLINK("c:\Heatmap Final\Sweep_Results_final\A_0.70\Cost_0.25\HM_C_0.25_final.png", "View Heatmap")</f>
        <v/>
      </c>
    </row>
    <row r="70">
      <c r="A70" t="n">
        <v>148</v>
      </c>
      <c r="B70" t="n">
        <v>0.5</v>
      </c>
      <c r="C70" t="n">
        <v>0.25</v>
      </c>
      <c r="D70" t="n">
        <v>0.7</v>
      </c>
      <c r="E70" t="n">
        <v>1.684444444444445</v>
      </c>
      <c r="F70" t="n">
        <v>1.816111111111112</v>
      </c>
      <c r="G70">
        <f>HYPERLINK("c:\Heatmap Final\Sweep_Results_final\A_0.70\Cost_0.25\HM_C_0.50_final.png", "View Heatmap")</f>
        <v/>
      </c>
    </row>
    <row r="71">
      <c r="A71" t="n">
        <v>149</v>
      </c>
      <c r="B71" t="n">
        <v>0.75</v>
      </c>
      <c r="C71" t="n">
        <v>0.25</v>
      </c>
      <c r="D71" t="n">
        <v>0.7</v>
      </c>
      <c r="E71" t="n">
        <v>1.289999999999999</v>
      </c>
      <c r="F71" t="n">
        <v>1.392777777777777</v>
      </c>
      <c r="G71">
        <f>HYPERLINK("c:\Heatmap Final\Sweep_Results_final\A_0.70\Cost_0.25\HM_C_0.75_final.png", "View Heatmap")</f>
        <v/>
      </c>
    </row>
    <row r="72">
      <c r="A72" t="n">
        <v>150</v>
      </c>
      <c r="B72" t="n">
        <v>1</v>
      </c>
      <c r="C72" t="n">
        <v>0.25</v>
      </c>
      <c r="D72" t="n">
        <v>0.7</v>
      </c>
      <c r="E72" t="n">
        <v>1.103333333333333</v>
      </c>
      <c r="F72" t="n">
        <v>1.141666666666666</v>
      </c>
      <c r="G72">
        <f>HYPERLINK("c:\Heatmap Final\Sweep_Results_final\A_0.70\Cost_0.25\HM_C_1.00_final.png", "View Heatmap")</f>
        <v/>
      </c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n">
        <v>181</v>
      </c>
      <c r="B74" t="n">
        <v>0</v>
      </c>
      <c r="C74" t="n">
        <v>0.25</v>
      </c>
      <c r="D74" t="n">
        <v>0.85</v>
      </c>
      <c r="E74" t="n">
        <v>1.746111111111111</v>
      </c>
      <c r="F74" t="n">
        <v>2.306111111111111</v>
      </c>
      <c r="G74">
        <f>HYPERLINK("c:\Heatmap Final\Sweep_Results_final\A_0.85\Cost_0.25\HM_C_0.00_final.png", "View Heatmap")</f>
        <v/>
      </c>
    </row>
    <row r="75">
      <c r="A75" t="n">
        <v>182</v>
      </c>
      <c r="B75" t="n">
        <v>0.25</v>
      </c>
      <c r="C75" t="n">
        <v>0.25</v>
      </c>
      <c r="D75" t="n">
        <v>0.85</v>
      </c>
      <c r="E75" t="n">
        <v>1.769444444444444</v>
      </c>
      <c r="F75" t="n">
        <v>2.251666666666666</v>
      </c>
      <c r="G75">
        <f>HYPERLINK("c:\Heatmap Final\Sweep_Results_final\A_0.85\Cost_0.25\HM_C_0.25_final.png", "View Heatmap")</f>
        <v/>
      </c>
    </row>
    <row r="76">
      <c r="A76" t="n">
        <v>183</v>
      </c>
      <c r="B76" t="n">
        <v>0.5</v>
      </c>
      <c r="C76" t="n">
        <v>0.25</v>
      </c>
      <c r="D76" t="n">
        <v>0.85</v>
      </c>
      <c r="E76" t="n">
        <v>1.645555555555555</v>
      </c>
      <c r="F76" t="n">
        <v>1.742777777777777</v>
      </c>
      <c r="G76">
        <f>HYPERLINK("c:\Heatmap Final\Sweep_Results_final\A_0.85\Cost_0.25\HM_C_0.50_final.png", "View Heatmap")</f>
        <v/>
      </c>
    </row>
    <row r="77">
      <c r="A77" t="n">
        <v>184</v>
      </c>
      <c r="B77" t="n">
        <v>0.75</v>
      </c>
      <c r="C77" t="n">
        <v>0.25</v>
      </c>
      <c r="D77" t="n">
        <v>0.85</v>
      </c>
      <c r="E77" t="n">
        <v>1.21</v>
      </c>
      <c r="F77" t="n">
        <v>1.27611111111111</v>
      </c>
      <c r="G77">
        <f>HYPERLINK("c:\Heatmap Final\Sweep_Results_final\A_0.85\Cost_0.25\HM_C_0.75_final.png", "View Heatmap")</f>
        <v/>
      </c>
    </row>
    <row r="78">
      <c r="A78" t="n">
        <v>185</v>
      </c>
      <c r="B78" t="n">
        <v>1</v>
      </c>
      <c r="C78" t="n">
        <v>0.25</v>
      </c>
      <c r="D78" t="n">
        <v>0.85</v>
      </c>
      <c r="E78" t="n">
        <v>1.087777777777778</v>
      </c>
      <c r="F78" t="n">
        <v>1.098888888888889</v>
      </c>
      <c r="G78">
        <f>HYPERLINK("c:\Heatmap Final\Sweep_Results_final\A_0.85\Cost_0.25\HM_C_1.00_final.png", "View Heatmap")</f>
        <v/>
      </c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n">
        <v>216</v>
      </c>
      <c r="B80" t="n">
        <v>0</v>
      </c>
      <c r="C80" t="n">
        <v>0.25</v>
      </c>
      <c r="D80" t="n">
        <v>1</v>
      </c>
      <c r="E80" t="n">
        <v>1.779444444444445</v>
      </c>
      <c r="F80" t="n">
        <v>2.366666666666667</v>
      </c>
      <c r="G80">
        <f>HYPERLINK("c:\Heatmap Final\Sweep_Results_final\A_1.00\Cost_0.25\HM_C_0.00_final.png", "View Heatmap")</f>
        <v/>
      </c>
    </row>
    <row r="81">
      <c r="A81" t="n">
        <v>217</v>
      </c>
      <c r="B81" t="n">
        <v>0.25</v>
      </c>
      <c r="C81" t="n">
        <v>0.25</v>
      </c>
      <c r="D81" t="n">
        <v>1</v>
      </c>
      <c r="E81" t="n">
        <v>1.773333333333333</v>
      </c>
      <c r="F81" t="n">
        <v>2.208333333333333</v>
      </c>
      <c r="G81">
        <f>HYPERLINK("c:\Heatmap Final\Sweep_Results_final\A_1.00\Cost_0.25\HM_C_0.25_final.png", "View Heatmap")</f>
        <v/>
      </c>
    </row>
    <row r="82">
      <c r="A82" t="n">
        <v>218</v>
      </c>
      <c r="B82" t="n">
        <v>0.5</v>
      </c>
      <c r="C82" t="n">
        <v>0.25</v>
      </c>
      <c r="D82" t="n">
        <v>1</v>
      </c>
      <c r="E82" t="n">
        <v>1.579444444444444</v>
      </c>
      <c r="F82" t="n">
        <v>1.683888888888889</v>
      </c>
      <c r="G82">
        <f>HYPERLINK("c:\Heatmap Final\Sweep_Results_final\A_1.00\Cost_0.25\HM_C_0.50_final.png", "View Heatmap")</f>
        <v/>
      </c>
    </row>
    <row r="83">
      <c r="A83" t="n">
        <v>219</v>
      </c>
      <c r="B83" t="n">
        <v>0.75</v>
      </c>
      <c r="C83" t="n">
        <v>0.25</v>
      </c>
      <c r="D83" t="n">
        <v>1</v>
      </c>
      <c r="E83" t="n">
        <v>1.221666666666666</v>
      </c>
      <c r="F83" t="n">
        <v>1.265</v>
      </c>
      <c r="G83">
        <f>HYPERLINK("c:\Heatmap Final\Sweep_Results_final\A_1.00\Cost_0.25\HM_C_0.75_final.png", "View Heatmap")</f>
        <v/>
      </c>
    </row>
    <row r="84">
      <c r="A84" t="n">
        <v>220</v>
      </c>
      <c r="B84" t="n">
        <v>1</v>
      </c>
      <c r="C84" t="n">
        <v>0.25</v>
      </c>
      <c r="D84" t="n">
        <v>1</v>
      </c>
      <c r="E84" t="n">
        <v>1.043888888888889</v>
      </c>
      <c r="F84" t="n">
        <v>1.044444444444445</v>
      </c>
      <c r="G84">
        <f>HYPERLINK("c:\Heatmap Final\Sweep_Results_final\A_1.00\Cost_0.25\HM_C_1.00_final.png", "View Heatmap")</f>
        <v/>
      </c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n">
        <v>11</v>
      </c>
      <c r="B86" t="n">
        <v>0</v>
      </c>
      <c r="C86" t="n">
        <v>0.5</v>
      </c>
      <c r="D86" t="n">
        <v>0.1</v>
      </c>
      <c r="E86" t="n">
        <v>1.383333333333333</v>
      </c>
      <c r="F86" t="n">
        <v>1.521666666666667</v>
      </c>
      <c r="G86">
        <f>HYPERLINK("c:\Heatmap Final\Sweep_Results_final\A_0.10\Cost_0.50\HM_C_0.00_final.png", "View Heatmap")</f>
        <v/>
      </c>
    </row>
    <row r="87">
      <c r="A87" t="n">
        <v>12</v>
      </c>
      <c r="B87" t="n">
        <v>0.25</v>
      </c>
      <c r="C87" t="n">
        <v>0.5</v>
      </c>
      <c r="D87" t="n">
        <v>0.1</v>
      </c>
      <c r="E87" t="n">
        <v>1.392777777777778</v>
      </c>
      <c r="F87" t="n">
        <v>1.542777777777777</v>
      </c>
      <c r="G87">
        <f>HYPERLINK("c:\Heatmap Final\Sweep_Results_final\A_0.10\Cost_0.50\HM_C_0.25_final.png", "View Heatmap")</f>
        <v/>
      </c>
    </row>
    <row r="88">
      <c r="A88" t="n">
        <v>13</v>
      </c>
      <c r="B88" t="n">
        <v>0.5</v>
      </c>
      <c r="C88" t="n">
        <v>0.5</v>
      </c>
      <c r="D88" t="n">
        <v>0.1</v>
      </c>
      <c r="E88" t="n">
        <v>1.401666666666667</v>
      </c>
      <c r="F88" t="n">
        <v>1.553333333333334</v>
      </c>
      <c r="G88">
        <f>HYPERLINK("c:\Heatmap Final\Sweep_Results_final\A_0.10\Cost_0.50\HM_C_0.50_final.png", "View Heatmap")</f>
        <v/>
      </c>
    </row>
    <row r="89">
      <c r="A89" t="n">
        <v>14</v>
      </c>
      <c r="B89" t="n">
        <v>0.75</v>
      </c>
      <c r="C89" t="n">
        <v>0.5</v>
      </c>
      <c r="D89" t="n">
        <v>0.1</v>
      </c>
      <c r="E89" t="n">
        <v>1.415555555555556</v>
      </c>
      <c r="F89" t="n">
        <v>1.570000000000001</v>
      </c>
      <c r="G89">
        <f>HYPERLINK("c:\Heatmap Final\Sweep_Results_final\A_0.10\Cost_0.50\HM_C_0.75_final.png", "View Heatmap")</f>
        <v/>
      </c>
    </row>
    <row r="90">
      <c r="A90" t="n">
        <v>15</v>
      </c>
      <c r="B90" t="n">
        <v>1</v>
      </c>
      <c r="C90" t="n">
        <v>0.5</v>
      </c>
      <c r="D90" t="n">
        <v>0.1</v>
      </c>
      <c r="E90" t="n">
        <v>1.451666666666667</v>
      </c>
      <c r="F90" t="n">
        <v>1.622777777777778</v>
      </c>
      <c r="G90">
        <f>HYPERLINK("c:\Heatmap Final\Sweep_Results_final\A_0.10\Cost_0.50\HM_C_1.00_final.png", "View Heatmap")</f>
        <v/>
      </c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n">
        <v>46</v>
      </c>
      <c r="B92" t="n">
        <v>0</v>
      </c>
      <c r="C92" t="n">
        <v>0.5</v>
      </c>
      <c r="D92" t="n">
        <v>0.25</v>
      </c>
      <c r="E92" t="n">
        <v>1.526666666666666</v>
      </c>
      <c r="F92" t="n">
        <v>1.871111111111111</v>
      </c>
      <c r="G92">
        <f>HYPERLINK("c:\Heatmap Final\Sweep_Results_final\A_0.25\Cost_0.50\HM_C_0.00_final.png", "View Heatmap")</f>
        <v/>
      </c>
    </row>
    <row r="93">
      <c r="A93" t="n">
        <v>47</v>
      </c>
      <c r="B93" t="n">
        <v>0.25</v>
      </c>
      <c r="C93" t="n">
        <v>0.5</v>
      </c>
      <c r="D93" t="n">
        <v>0.25</v>
      </c>
      <c r="E93" t="n">
        <v>1.544444444444445</v>
      </c>
      <c r="F93" t="n">
        <v>1.787222222222222</v>
      </c>
      <c r="G93">
        <f>HYPERLINK("c:\Heatmap Final\Sweep_Results_final\A_0.25\Cost_0.50\HM_C_0.25_final.png", "View Heatmap")</f>
        <v/>
      </c>
    </row>
    <row r="94">
      <c r="A94" t="n">
        <v>48</v>
      </c>
      <c r="B94" t="n">
        <v>0.5</v>
      </c>
      <c r="C94" t="n">
        <v>0.5</v>
      </c>
      <c r="D94" t="n">
        <v>0.25</v>
      </c>
      <c r="E94" t="n">
        <v>1.574444444444444</v>
      </c>
      <c r="F94" t="n">
        <v>1.747777777777778</v>
      </c>
      <c r="G94">
        <f>HYPERLINK("c:\Heatmap Final\Sweep_Results_final\A_0.25\Cost_0.50\HM_C_0.50_final.png", "View Heatmap")</f>
        <v/>
      </c>
    </row>
    <row r="95">
      <c r="A95" t="n">
        <v>49</v>
      </c>
      <c r="B95" t="n">
        <v>0.75</v>
      </c>
      <c r="C95" t="n">
        <v>0.5</v>
      </c>
      <c r="D95" t="n">
        <v>0.25</v>
      </c>
      <c r="E95" t="n">
        <v>1.617222222222222</v>
      </c>
      <c r="F95" t="n">
        <v>1.773333333333333</v>
      </c>
      <c r="G95">
        <f>HYPERLINK("c:\Heatmap Final\Sweep_Results_final\A_0.25\Cost_0.50\HM_C_0.75_final.png", "View Heatmap")</f>
        <v/>
      </c>
    </row>
    <row r="96">
      <c r="A96" t="n">
        <v>50</v>
      </c>
      <c r="B96" t="n">
        <v>1</v>
      </c>
      <c r="C96" t="n">
        <v>0.5</v>
      </c>
      <c r="D96" t="n">
        <v>0.25</v>
      </c>
      <c r="E96" t="n">
        <v>1.246666666666667</v>
      </c>
      <c r="F96" t="n">
        <v>1.324444444444444</v>
      </c>
      <c r="G96">
        <f>HYPERLINK("c:\Heatmap Final\Sweep_Results_final\A_0.25\Cost_0.50\HM_C_1.00_final.png", "View Heatmap")</f>
        <v/>
      </c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n">
        <v>81</v>
      </c>
      <c r="B98" t="n">
        <v>0</v>
      </c>
      <c r="C98" t="n">
        <v>0.5</v>
      </c>
      <c r="D98" t="n">
        <v>0.4</v>
      </c>
      <c r="E98" t="n">
        <v>1.653333333333333</v>
      </c>
      <c r="F98" t="n">
        <v>2.101666666666667</v>
      </c>
      <c r="G98">
        <f>HYPERLINK("c:\Heatmap Final\Sweep_Results_final\A_0.40\Cost_0.50\HM_C_0.00_final.png", "View Heatmap")</f>
        <v/>
      </c>
    </row>
    <row r="99">
      <c r="A99" t="n">
        <v>82</v>
      </c>
      <c r="B99" t="n">
        <v>0.25</v>
      </c>
      <c r="C99" t="n">
        <v>0.5</v>
      </c>
      <c r="D99" t="n">
        <v>0.4</v>
      </c>
      <c r="E99" t="n">
        <v>1.682222222222223</v>
      </c>
      <c r="F99" t="n">
        <v>2.121666666666667</v>
      </c>
      <c r="G99">
        <f>HYPERLINK("c:\Heatmap Final\Sweep_Results_final\A_0.40\Cost_0.50\HM_C_0.25_final.png", "View Heatmap")</f>
        <v/>
      </c>
    </row>
    <row r="100">
      <c r="A100" t="n">
        <v>83</v>
      </c>
      <c r="B100" t="n">
        <v>0.5</v>
      </c>
      <c r="C100" t="n">
        <v>0.5</v>
      </c>
      <c r="D100" t="n">
        <v>0.4</v>
      </c>
      <c r="E100" t="n">
        <v>1.705</v>
      </c>
      <c r="F100" t="n">
        <v>1.992222222222222</v>
      </c>
      <c r="G100">
        <f>HYPERLINK("c:\Heatmap Final\Sweep_Results_final\A_0.40\Cost_0.50\HM_C_0.50_final.png", "View Heatmap")</f>
        <v/>
      </c>
    </row>
    <row r="101">
      <c r="A101" t="n">
        <v>84</v>
      </c>
      <c r="B101" t="n">
        <v>0.75</v>
      </c>
      <c r="C101" t="n">
        <v>0.5</v>
      </c>
      <c r="D101" t="n">
        <v>0.4</v>
      </c>
      <c r="E101" t="n">
        <v>1.665555555555556</v>
      </c>
      <c r="F101" t="n">
        <v>1.865</v>
      </c>
      <c r="G101">
        <f>HYPERLINK("c:\Heatmap Final\Sweep_Results_final\A_0.40\Cost_0.50\HM_C_0.75_final.png", "View Heatmap")</f>
        <v/>
      </c>
    </row>
    <row r="102">
      <c r="A102" t="n">
        <v>85</v>
      </c>
      <c r="B102" t="n">
        <v>1</v>
      </c>
      <c r="C102" t="n">
        <v>0.5</v>
      </c>
      <c r="D102" t="n">
        <v>0.4</v>
      </c>
      <c r="E102" t="n">
        <v>1.117222222222222</v>
      </c>
      <c r="F102" t="n">
        <v>1.198333333333333</v>
      </c>
      <c r="G102">
        <f>HYPERLINK("c:\Heatmap Final\Sweep_Results_final\A_0.40\Cost_0.50\HM_C_1.00_final.png", "View Heatmap")</f>
        <v/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</row>
    <row r="104">
      <c r="A104" t="n">
        <v>116</v>
      </c>
      <c r="B104" t="n">
        <v>0</v>
      </c>
      <c r="C104" t="n">
        <v>0.5</v>
      </c>
      <c r="D104" t="n">
        <v>0.55</v>
      </c>
      <c r="E104" t="n">
        <v>1.755555555555556</v>
      </c>
      <c r="F104" t="n">
        <v>2.288333333333334</v>
      </c>
      <c r="G104">
        <f>HYPERLINK("c:\Heatmap Final\Sweep_Results_final\A_0.55\Cost_0.50\HM_C_0.00_final.png", "View Heatmap")</f>
        <v/>
      </c>
    </row>
    <row r="105">
      <c r="A105" t="n">
        <v>117</v>
      </c>
      <c r="B105" t="n">
        <v>0.25</v>
      </c>
      <c r="C105" t="n">
        <v>0.5</v>
      </c>
      <c r="D105" t="n">
        <v>0.55</v>
      </c>
      <c r="E105" t="n">
        <v>1.773333333333333</v>
      </c>
      <c r="F105" t="n">
        <v>2.313888888888888</v>
      </c>
      <c r="G105">
        <f>HYPERLINK("c:\Heatmap Final\Sweep_Results_final\A_0.55\Cost_0.50\HM_C_0.25_final.png", "View Heatmap")</f>
        <v/>
      </c>
    </row>
    <row r="106">
      <c r="A106" t="n">
        <v>118</v>
      </c>
      <c r="B106" t="n">
        <v>0.5</v>
      </c>
      <c r="C106" t="n">
        <v>0.5</v>
      </c>
      <c r="D106" t="n">
        <v>0.55</v>
      </c>
      <c r="E106" t="n">
        <v>1.793888888888888</v>
      </c>
      <c r="F106" t="n">
        <v>2.268333333333333</v>
      </c>
      <c r="G106">
        <f>HYPERLINK("c:\Heatmap Final\Sweep_Results_final\A_0.55\Cost_0.50\HM_C_0.50_final.png", "View Heatmap")</f>
        <v/>
      </c>
    </row>
    <row r="107">
      <c r="A107" t="n">
        <v>119</v>
      </c>
      <c r="B107" t="n">
        <v>0.75</v>
      </c>
      <c r="C107" t="n">
        <v>0.5</v>
      </c>
      <c r="D107" t="n">
        <v>0.55</v>
      </c>
      <c r="E107" t="n">
        <v>1.579444444444445</v>
      </c>
      <c r="F107" t="n">
        <v>1.815555555555556</v>
      </c>
      <c r="G107">
        <f>HYPERLINK("c:\Heatmap Final\Sweep_Results_final\A_0.55\Cost_0.50\HM_C_0.75_final.png", "View Heatmap")</f>
        <v/>
      </c>
    </row>
    <row r="108">
      <c r="A108" t="n">
        <v>120</v>
      </c>
      <c r="B108" t="n">
        <v>1</v>
      </c>
      <c r="C108" t="n">
        <v>0.5</v>
      </c>
      <c r="D108" t="n">
        <v>0.55</v>
      </c>
      <c r="E108" t="n">
        <v>1.135</v>
      </c>
      <c r="F108" t="n">
        <v>1.247777777777778</v>
      </c>
      <c r="G108">
        <f>HYPERLINK("c:\Heatmap Final\Sweep_Results_final\A_0.55\Cost_0.50\HM_C_1.00_final.png", "View Heatmap")</f>
        <v/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</row>
    <row r="110">
      <c r="A110" t="n">
        <v>151</v>
      </c>
      <c r="B110" t="n">
        <v>0</v>
      </c>
      <c r="C110" t="n">
        <v>0.5</v>
      </c>
      <c r="D110" t="n">
        <v>0.7</v>
      </c>
      <c r="E110" t="n">
        <v>1.832222222222222</v>
      </c>
      <c r="F110" t="n">
        <v>2.482222222222223</v>
      </c>
      <c r="G110">
        <f>HYPERLINK("c:\Heatmap Final\Sweep_Results_final\A_0.70\Cost_0.50\HM_C_0.00_final.png", "View Heatmap")</f>
        <v/>
      </c>
    </row>
    <row r="111">
      <c r="A111" t="n">
        <v>152</v>
      </c>
      <c r="B111" t="n">
        <v>0.25</v>
      </c>
      <c r="C111" t="n">
        <v>0.5</v>
      </c>
      <c r="D111" t="n">
        <v>0.7</v>
      </c>
      <c r="E111" t="n">
        <v>1.821666666666667</v>
      </c>
      <c r="F111" t="n">
        <v>2.475555555555556</v>
      </c>
      <c r="G111">
        <f>HYPERLINK("c:\Heatmap Final\Sweep_Results_final\A_0.70\Cost_0.50\HM_C_0.25_final.png", "View Heatmap")</f>
        <v/>
      </c>
    </row>
    <row r="112">
      <c r="A112" t="n">
        <v>153</v>
      </c>
      <c r="B112" t="n">
        <v>0.5</v>
      </c>
      <c r="C112" t="n">
        <v>0.5</v>
      </c>
      <c r="D112" t="n">
        <v>0.7</v>
      </c>
      <c r="E112" t="n">
        <v>1.807222222222222</v>
      </c>
      <c r="F112" t="n">
        <v>2.378333333333334</v>
      </c>
      <c r="G112">
        <f>HYPERLINK("c:\Heatmap Final\Sweep_Results_final\A_0.70\Cost_0.50\HM_C_0.50_final.png", "View Heatmap")</f>
        <v/>
      </c>
    </row>
    <row r="113">
      <c r="A113" t="n">
        <v>154</v>
      </c>
      <c r="B113" t="n">
        <v>0.75</v>
      </c>
      <c r="C113" t="n">
        <v>0.5</v>
      </c>
      <c r="D113" t="n">
        <v>0.7</v>
      </c>
      <c r="E113" t="n">
        <v>1.607777777777778</v>
      </c>
      <c r="F113" t="n">
        <v>1.907222222222222</v>
      </c>
      <c r="G113">
        <f>HYPERLINK("c:\Heatmap Final\Sweep_Results_final\A_0.70\Cost_0.50\HM_C_0.75_final.png", "View Heatmap")</f>
        <v/>
      </c>
    </row>
    <row r="114">
      <c r="A114" t="n">
        <v>155</v>
      </c>
      <c r="B114" t="n">
        <v>1</v>
      </c>
      <c r="C114" t="n">
        <v>0.5</v>
      </c>
      <c r="D114" t="n">
        <v>0.7</v>
      </c>
      <c r="E114" t="n">
        <v>1.083333333333333</v>
      </c>
      <c r="F114" t="n">
        <v>1.133333333333333</v>
      </c>
      <c r="G114">
        <f>HYPERLINK("c:\Heatmap Final\Sweep_Results_final\A_0.70\Cost_0.50\HM_C_1.00_final.png", "View Heatmap")</f>
        <v/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</row>
    <row r="116">
      <c r="A116" t="n">
        <v>186</v>
      </c>
      <c r="B116" t="n">
        <v>0</v>
      </c>
      <c r="C116" t="n">
        <v>0.5</v>
      </c>
      <c r="D116" t="n">
        <v>0.85</v>
      </c>
      <c r="E116" t="n">
        <v>1.866111111111111</v>
      </c>
      <c r="F116" t="n">
        <v>2.608888888888889</v>
      </c>
      <c r="G116">
        <f>HYPERLINK("c:\Heatmap Final\Sweep_Results_final\A_0.85\Cost_0.50\HM_C_0.00_final.png", "View Heatmap")</f>
        <v/>
      </c>
    </row>
    <row r="117">
      <c r="A117" t="n">
        <v>187</v>
      </c>
      <c r="B117" t="n">
        <v>0.25</v>
      </c>
      <c r="C117" t="n">
        <v>0.5</v>
      </c>
      <c r="D117" t="n">
        <v>0.85</v>
      </c>
      <c r="E117" t="n">
        <v>1.872222222222222</v>
      </c>
      <c r="F117" t="n">
        <v>2.628333333333333</v>
      </c>
      <c r="G117">
        <f>HYPERLINK("c:\Heatmap Final\Sweep_Results_final\A_0.85\Cost_0.50\HM_C_0.25_final.png", "View Heatmap")</f>
        <v/>
      </c>
    </row>
    <row r="118">
      <c r="A118" t="n">
        <v>188</v>
      </c>
      <c r="B118" t="n">
        <v>0.5</v>
      </c>
      <c r="C118" t="n">
        <v>0.5</v>
      </c>
      <c r="D118" t="n">
        <v>0.85</v>
      </c>
      <c r="E118" t="n">
        <v>1.815</v>
      </c>
      <c r="F118" t="n">
        <v>2.452777777777777</v>
      </c>
      <c r="G118">
        <f>HYPERLINK("c:\Heatmap Final\Sweep_Results_final\A_0.85\Cost_0.50\HM_C_0.50_final.png", "View Heatmap")</f>
        <v/>
      </c>
    </row>
    <row r="119">
      <c r="A119" t="n">
        <v>189</v>
      </c>
      <c r="B119" t="n">
        <v>0.75</v>
      </c>
      <c r="C119" t="n">
        <v>0.5</v>
      </c>
      <c r="D119" t="n">
        <v>0.85</v>
      </c>
      <c r="E119" t="n">
        <v>1.647222222222222</v>
      </c>
      <c r="F119" t="n">
        <v>2.072222222222222</v>
      </c>
      <c r="G119">
        <f>HYPERLINK("c:\Heatmap Final\Sweep_Results_final\A_0.85\Cost_0.50\HM_C_0.75_final.png", "View Heatmap")</f>
        <v/>
      </c>
    </row>
    <row r="120">
      <c r="A120" t="n">
        <v>190</v>
      </c>
      <c r="B120" t="n">
        <v>1</v>
      </c>
      <c r="C120" t="n">
        <v>0.5</v>
      </c>
      <c r="D120" t="n">
        <v>0.85</v>
      </c>
      <c r="E120" t="n">
        <v>1.23</v>
      </c>
      <c r="F120" t="n">
        <v>1.253888888888888</v>
      </c>
      <c r="G120">
        <f>HYPERLINK("c:\Heatmap Final\Sweep_Results_final\A_0.85\Cost_0.50\HM_C_1.00_final.png", "View Heatmap")</f>
        <v/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n">
        <v>221</v>
      </c>
      <c r="B122" t="n">
        <v>0</v>
      </c>
      <c r="C122" t="n">
        <v>0.5</v>
      </c>
      <c r="D122" t="n">
        <v>1</v>
      </c>
      <c r="E122" t="n">
        <v>1.881111111111111</v>
      </c>
      <c r="F122" t="n">
        <v>2.698333333333333</v>
      </c>
      <c r="G122">
        <f>HYPERLINK("c:\Heatmap Final\Sweep_Results_final\A_1.00\Cost_0.50\HM_C_0.00_final.png", "View Heatmap")</f>
        <v/>
      </c>
    </row>
    <row r="123">
      <c r="A123" t="n">
        <v>222</v>
      </c>
      <c r="B123" t="n">
        <v>0.25</v>
      </c>
      <c r="C123" t="n">
        <v>0.5</v>
      </c>
      <c r="D123" t="n">
        <v>1</v>
      </c>
      <c r="E123" t="n">
        <v>1.884444444444445</v>
      </c>
      <c r="F123" t="n">
        <v>2.667222222222222</v>
      </c>
      <c r="G123">
        <f>HYPERLINK("c:\Heatmap Final\Sweep_Results_final\A_1.00\Cost_0.50\HM_C_0.25_final.png", "View Heatmap")</f>
        <v/>
      </c>
    </row>
    <row r="124">
      <c r="A124" t="n">
        <v>223</v>
      </c>
      <c r="B124" t="n">
        <v>0.5</v>
      </c>
      <c r="C124" t="n">
        <v>0.5</v>
      </c>
      <c r="D124" t="n">
        <v>1</v>
      </c>
      <c r="E124" t="n">
        <v>1.804444444444444</v>
      </c>
      <c r="F124" t="n">
        <v>2.489444444444444</v>
      </c>
      <c r="G124">
        <f>HYPERLINK("c:\Heatmap Final\Sweep_Results_final\A_1.00\Cost_0.50\HM_C_0.50_final.png", "View Heatmap")</f>
        <v/>
      </c>
    </row>
    <row r="125">
      <c r="A125" t="n">
        <v>224</v>
      </c>
      <c r="B125" t="n">
        <v>0.75</v>
      </c>
      <c r="C125" t="n">
        <v>0.5</v>
      </c>
      <c r="D125" t="n">
        <v>1</v>
      </c>
      <c r="E125" t="n">
        <v>1.683888888888889</v>
      </c>
      <c r="F125" t="n">
        <v>2.178888888888888</v>
      </c>
      <c r="G125">
        <f>HYPERLINK("c:\Heatmap Final\Sweep_Results_final\A_1.00\Cost_0.50\HM_C_0.75_final.png", "View Heatmap")</f>
        <v/>
      </c>
    </row>
    <row r="126">
      <c r="A126" t="n">
        <v>225</v>
      </c>
      <c r="B126" t="n">
        <v>1</v>
      </c>
      <c r="C126" t="n">
        <v>0.5</v>
      </c>
      <c r="D126" t="n">
        <v>1</v>
      </c>
      <c r="E126" t="n">
        <v>1.117222222222222</v>
      </c>
      <c r="F126" t="n">
        <v>1.130555555555555</v>
      </c>
      <c r="G126">
        <f>HYPERLINK("c:\Heatmap Final\Sweep_Results_final\A_1.00\Cost_0.50\HM_C_1.00_final.png", "View Heatmap")</f>
        <v/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n">
        <v>16</v>
      </c>
      <c r="B128" t="n">
        <v>0</v>
      </c>
      <c r="C128" t="n">
        <v>0.75</v>
      </c>
      <c r="D128" t="n">
        <v>0.1</v>
      </c>
      <c r="E128" t="n">
        <v>1.405</v>
      </c>
      <c r="F128" t="n">
        <v>1.554444444444444</v>
      </c>
      <c r="G128">
        <f>HYPERLINK("c:\Heatmap Final\Sweep_Results_final\A_0.10\Cost_0.75\HM_C_0.00_final.png", "View Heatmap")</f>
        <v/>
      </c>
    </row>
    <row r="129">
      <c r="A129" t="n">
        <v>17</v>
      </c>
      <c r="B129" t="n">
        <v>0.25</v>
      </c>
      <c r="C129" t="n">
        <v>0.75</v>
      </c>
      <c r="D129" t="n">
        <v>0.1</v>
      </c>
      <c r="E129" t="n">
        <v>1.422222222222222</v>
      </c>
      <c r="F129" t="n">
        <v>1.574444444444444</v>
      </c>
      <c r="G129">
        <f>HYPERLINK("c:\Heatmap Final\Sweep_Results_final\A_0.10\Cost_0.75\HM_C_0.25_final.png", "View Heatmap")</f>
        <v/>
      </c>
    </row>
    <row r="130">
      <c r="A130" t="n">
        <v>18</v>
      </c>
      <c r="B130" t="n">
        <v>0.5</v>
      </c>
      <c r="C130" t="n">
        <v>0.75</v>
      </c>
      <c r="D130" t="n">
        <v>0.1</v>
      </c>
      <c r="E130" t="n">
        <v>1.451111111111111</v>
      </c>
      <c r="F130" t="n">
        <v>1.608333333333333</v>
      </c>
      <c r="G130">
        <f>HYPERLINK("c:\Heatmap Final\Sweep_Results_final\A_0.10\Cost_0.75\HM_C_0.50_final.png", "View Heatmap")</f>
        <v/>
      </c>
    </row>
    <row r="131">
      <c r="A131" t="n">
        <v>19</v>
      </c>
      <c r="B131" t="n">
        <v>0.75</v>
      </c>
      <c r="C131" t="n">
        <v>0.75</v>
      </c>
      <c r="D131" t="n">
        <v>0.1</v>
      </c>
      <c r="E131" t="n">
        <v>1.490555555555556</v>
      </c>
      <c r="F131" t="n">
        <v>1.657777777777778</v>
      </c>
      <c r="G131">
        <f>HYPERLINK("c:\Heatmap Final\Sweep_Results_final\A_0.10\Cost_0.75\HM_C_0.75_final.png", "View Heatmap")</f>
        <v/>
      </c>
    </row>
    <row r="132">
      <c r="A132" t="n">
        <v>20</v>
      </c>
      <c r="B132" t="n">
        <v>1</v>
      </c>
      <c r="C132" t="n">
        <v>0.75</v>
      </c>
      <c r="D132" t="n">
        <v>0.1</v>
      </c>
      <c r="E132" t="n">
        <v>1.567777777777777</v>
      </c>
      <c r="F132" t="n">
        <v>1.750555555555555</v>
      </c>
      <c r="G132">
        <f>HYPERLINK("c:\Heatmap Final\Sweep_Results_final\A_0.10\Cost_0.75\HM_C_1.00_final.png", "View Heatmap")</f>
        <v/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n">
        <v>51</v>
      </c>
      <c r="B134" t="n">
        <v>0</v>
      </c>
      <c r="C134" t="n">
        <v>0.75</v>
      </c>
      <c r="D134" t="n">
        <v>0.25</v>
      </c>
      <c r="E134" t="n">
        <v>1.594444444444445</v>
      </c>
      <c r="F134" t="n">
        <v>1.983888888888889</v>
      </c>
      <c r="G134">
        <f>HYPERLINK("c:\Heatmap Final\Sweep_Results_final\A_0.25\Cost_0.75\HM_C_0.00_final.png", "View Heatmap")</f>
        <v/>
      </c>
    </row>
    <row r="135">
      <c r="A135" t="n">
        <v>52</v>
      </c>
      <c r="B135" t="n">
        <v>0.25</v>
      </c>
      <c r="C135" t="n">
        <v>0.75</v>
      </c>
      <c r="D135" t="n">
        <v>0.25</v>
      </c>
      <c r="E135" t="n">
        <v>1.621666666666667</v>
      </c>
      <c r="F135" t="n">
        <v>2.001111111111111</v>
      </c>
      <c r="G135">
        <f>HYPERLINK("c:\Heatmap Final\Sweep_Results_final\A_0.25\Cost_0.75\HM_C_0.25_final.png", "View Heatmap")</f>
        <v/>
      </c>
    </row>
    <row r="136">
      <c r="A136" t="n">
        <v>53</v>
      </c>
      <c r="B136" t="n">
        <v>0.5</v>
      </c>
      <c r="C136" t="n">
        <v>0.75</v>
      </c>
      <c r="D136" t="n">
        <v>0.25</v>
      </c>
      <c r="E136" t="n">
        <v>1.653333333333334</v>
      </c>
      <c r="F136" t="n">
        <v>1.900555555555556</v>
      </c>
      <c r="G136">
        <f>HYPERLINK("c:\Heatmap Final\Sweep_Results_final\A_0.25\Cost_0.75\HM_C_0.50_final.png", "View Heatmap")</f>
        <v/>
      </c>
    </row>
    <row r="137">
      <c r="A137" t="n">
        <v>54</v>
      </c>
      <c r="B137" t="n">
        <v>0.75</v>
      </c>
      <c r="C137" t="n">
        <v>0.75</v>
      </c>
      <c r="D137" t="n">
        <v>0.25</v>
      </c>
      <c r="E137" t="n">
        <v>1.654444444444444</v>
      </c>
      <c r="F137" t="n">
        <v>1.846666666666666</v>
      </c>
      <c r="G137">
        <f>HYPERLINK("c:\Heatmap Final\Sweep_Results_final\A_0.25\Cost_0.75\HM_C_0.75_final.png", "View Heatmap")</f>
        <v/>
      </c>
    </row>
    <row r="138">
      <c r="A138" t="n">
        <v>55</v>
      </c>
      <c r="B138" t="n">
        <v>1</v>
      </c>
      <c r="C138" t="n">
        <v>0.75</v>
      </c>
      <c r="D138" t="n">
        <v>0.25</v>
      </c>
      <c r="E138" t="n">
        <v>1.168888888888889</v>
      </c>
      <c r="F138" t="n">
        <v>1.249444444444444</v>
      </c>
      <c r="G138">
        <f>HYPERLINK("c:\Heatmap Final\Sweep_Results_final\A_0.25\Cost_0.75\HM_C_1.00_final.png", "View Heatmap")</f>
        <v/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n">
        <v>86</v>
      </c>
      <c r="B140" t="n">
        <v>0</v>
      </c>
      <c r="C140" t="n">
        <v>0.75</v>
      </c>
      <c r="D140" t="n">
        <v>0.4</v>
      </c>
      <c r="E140" t="n">
        <v>1.611666666666667</v>
      </c>
      <c r="F140" t="n">
        <v>1.987222222222222</v>
      </c>
      <c r="G140">
        <f>HYPERLINK("c:\Heatmap Final\Sweep_Results_final\A_0.40\Cost_0.75\HM_C_0.00_final.png", "View Heatmap")</f>
        <v/>
      </c>
    </row>
    <row r="141">
      <c r="A141" t="n">
        <v>87</v>
      </c>
      <c r="B141" t="n">
        <v>0.25</v>
      </c>
      <c r="C141" t="n">
        <v>0.75</v>
      </c>
      <c r="D141" t="n">
        <v>0.4</v>
      </c>
      <c r="E141" t="n">
        <v>1.648888888888889</v>
      </c>
      <c r="F141" t="n">
        <v>2.116666666666667</v>
      </c>
      <c r="G141">
        <f>HYPERLINK("c:\Heatmap Final\Sweep_Results_final\A_0.40\Cost_0.75\HM_C_0.25_final.png", "View Heatmap")</f>
        <v/>
      </c>
    </row>
    <row r="142">
      <c r="A142" t="n">
        <v>88</v>
      </c>
      <c r="B142" t="n">
        <v>0.5</v>
      </c>
      <c r="C142" t="n">
        <v>0.75</v>
      </c>
      <c r="D142" t="n">
        <v>0.4</v>
      </c>
      <c r="E142" t="n">
        <v>1.707777777777778</v>
      </c>
      <c r="F142" t="n">
        <v>2.175555555555556</v>
      </c>
      <c r="G142">
        <f>HYPERLINK("c:\Heatmap Final\Sweep_Results_final\A_0.40\Cost_0.75\HM_C_0.50_final.png", "View Heatmap")</f>
        <v/>
      </c>
    </row>
    <row r="143">
      <c r="A143" t="n">
        <v>89</v>
      </c>
      <c r="B143" t="n">
        <v>0.75</v>
      </c>
      <c r="C143" t="n">
        <v>0.75</v>
      </c>
      <c r="D143" t="n">
        <v>0.4</v>
      </c>
      <c r="E143" t="n">
        <v>1.584444444444445</v>
      </c>
      <c r="F143" t="n">
        <v>1.872777777777778</v>
      </c>
      <c r="G143">
        <f>HYPERLINK("c:\Heatmap Final\Sweep_Results_final\A_0.40\Cost_0.75\HM_C_0.75_final.png", "View Heatmap")</f>
        <v/>
      </c>
    </row>
    <row r="144">
      <c r="A144" t="n">
        <v>90</v>
      </c>
      <c r="B144" t="n">
        <v>1</v>
      </c>
      <c r="C144" t="n">
        <v>0.75</v>
      </c>
      <c r="D144" t="n">
        <v>0.4</v>
      </c>
      <c r="E144" t="n">
        <v>1.128888888888889</v>
      </c>
      <c r="F144" t="n">
        <v>1.244444444444444</v>
      </c>
      <c r="G144">
        <f>HYPERLINK("c:\Heatmap Final\Sweep_Results_final\A_0.40\Cost_0.75\HM_C_1.00_final.png", "View Heatmap")</f>
        <v/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</row>
    <row r="146">
      <c r="A146" t="n">
        <v>121</v>
      </c>
      <c r="B146" t="n">
        <v>0</v>
      </c>
      <c r="C146" t="n">
        <v>0.75</v>
      </c>
      <c r="D146" t="n">
        <v>0.55</v>
      </c>
      <c r="E146" t="n">
        <v>1.331111111111111</v>
      </c>
      <c r="F146" t="n">
        <v>1.410555555555556</v>
      </c>
      <c r="G146">
        <f>HYPERLINK("c:\Heatmap Final\Sweep_Results_final\A_0.55\Cost_0.75\HM_C_0.00_final.png", "View Heatmap")</f>
        <v/>
      </c>
    </row>
    <row r="147">
      <c r="A147" t="n">
        <v>122</v>
      </c>
      <c r="B147" t="n">
        <v>0.25</v>
      </c>
      <c r="C147" t="n">
        <v>0.75</v>
      </c>
      <c r="D147" t="n">
        <v>0.55</v>
      </c>
      <c r="E147" t="n">
        <v>1.67</v>
      </c>
      <c r="F147" t="n">
        <v>2.176111111111111</v>
      </c>
      <c r="G147">
        <f>HYPERLINK("c:\Heatmap Final\Sweep_Results_final\A_0.55\Cost_0.75\HM_C_0.25_final.png", "View Heatmap")</f>
        <v/>
      </c>
    </row>
    <row r="148">
      <c r="A148" t="n">
        <v>123</v>
      </c>
      <c r="B148" t="n">
        <v>0.5</v>
      </c>
      <c r="C148" t="n">
        <v>0.75</v>
      </c>
      <c r="D148" t="n">
        <v>0.55</v>
      </c>
      <c r="E148" t="n">
        <v>1.771111111111111</v>
      </c>
      <c r="F148" t="n">
        <v>2.391111111111111</v>
      </c>
      <c r="G148">
        <f>HYPERLINK("c:\Heatmap Final\Sweep_Results_final\A_0.55\Cost_0.75\HM_C_0.50_final.png", "View Heatmap")</f>
        <v/>
      </c>
    </row>
    <row r="149">
      <c r="A149" t="n">
        <v>124</v>
      </c>
      <c r="B149" t="n">
        <v>0.75</v>
      </c>
      <c r="C149" t="n">
        <v>0.75</v>
      </c>
      <c r="D149" t="n">
        <v>0.55</v>
      </c>
      <c r="E149" t="n">
        <v>1.583888888888889</v>
      </c>
      <c r="F149" t="n">
        <v>2.052777777777778</v>
      </c>
      <c r="G149">
        <f>HYPERLINK("c:\Heatmap Final\Sweep_Results_final\A_0.55\Cost_0.75\HM_C_0.75_final.png", "View Heatmap")</f>
        <v/>
      </c>
    </row>
    <row r="150">
      <c r="A150" t="n">
        <v>125</v>
      </c>
      <c r="B150" t="n">
        <v>1</v>
      </c>
      <c r="C150" t="n">
        <v>0.75</v>
      </c>
      <c r="D150" t="n">
        <v>0.55</v>
      </c>
      <c r="E150" t="n">
        <v>1.128333333333333</v>
      </c>
      <c r="F150" t="n">
        <v>1.233888888888889</v>
      </c>
      <c r="G150">
        <f>HYPERLINK("c:\Heatmap Final\Sweep_Results_final\A_0.55\Cost_0.75\HM_C_1.00_final.png", "View Heatmap")</f>
        <v/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</row>
    <row r="152">
      <c r="A152" t="n">
        <v>156</v>
      </c>
      <c r="B152" t="n">
        <v>0</v>
      </c>
      <c r="C152" t="n">
        <v>0.75</v>
      </c>
      <c r="D152" t="n">
        <v>0.7</v>
      </c>
      <c r="E152" t="n">
        <v>1.069444444444444</v>
      </c>
      <c r="F152" t="n">
        <v>1.085555555555554</v>
      </c>
      <c r="G152">
        <f>HYPERLINK("c:\Heatmap Final\Sweep_Results_final\A_0.70\Cost_0.75\HM_C_0.00_final.png", "View Heatmap")</f>
        <v/>
      </c>
    </row>
    <row r="153">
      <c r="A153" t="n">
        <v>157</v>
      </c>
      <c r="B153" t="n">
        <v>0.25</v>
      </c>
      <c r="C153" t="n">
        <v>0.75</v>
      </c>
      <c r="D153" t="n">
        <v>0.7</v>
      </c>
      <c r="E153" t="n">
        <v>1.666666666666667</v>
      </c>
      <c r="F153" t="n">
        <v>2.029444444444444</v>
      </c>
      <c r="G153">
        <f>HYPERLINK("c:\Heatmap Final\Sweep_Results_final\A_0.70\Cost_0.75\HM_C_0.25_final.png", "View Heatmap")</f>
        <v/>
      </c>
    </row>
    <row r="154">
      <c r="A154" t="n">
        <v>158</v>
      </c>
      <c r="B154" t="n">
        <v>0.5</v>
      </c>
      <c r="C154" t="n">
        <v>0.75</v>
      </c>
      <c r="D154" t="n">
        <v>0.7</v>
      </c>
      <c r="E154" t="n">
        <v>1.836111111111112</v>
      </c>
      <c r="F154" t="n">
        <v>2.576111111111111</v>
      </c>
      <c r="G154">
        <f>HYPERLINK("c:\Heatmap Final\Sweep_Results_final\A_0.70\Cost_0.75\HM_C_0.50_final.png", "View Heatmap")</f>
        <v/>
      </c>
    </row>
    <row r="155">
      <c r="A155" t="n">
        <v>159</v>
      </c>
      <c r="B155" t="n">
        <v>0.75</v>
      </c>
      <c r="C155" t="n">
        <v>0.75</v>
      </c>
      <c r="D155" t="n">
        <v>0.7</v>
      </c>
      <c r="E155" t="n">
        <v>1.709999999999999</v>
      </c>
      <c r="F155" t="n">
        <v>2.319444444444445</v>
      </c>
      <c r="G155">
        <f>HYPERLINK("c:\Heatmap Final\Sweep_Results_final\A_0.70\Cost_0.75\HM_C_0.75_final.png", "View Heatmap")</f>
        <v/>
      </c>
    </row>
    <row r="156">
      <c r="A156" t="n">
        <v>160</v>
      </c>
      <c r="B156" t="n">
        <v>1</v>
      </c>
      <c r="C156" t="n">
        <v>0.75</v>
      </c>
      <c r="D156" t="n">
        <v>0.7</v>
      </c>
      <c r="E156" t="n">
        <v>1.155555555555555</v>
      </c>
      <c r="F156" t="n">
        <v>1.206666666666667</v>
      </c>
      <c r="G156">
        <f>HYPERLINK("c:\Heatmap Final\Sweep_Results_final\A_0.70\Cost_0.75\HM_C_1.00_final.png", "View Heatmap")</f>
        <v/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</row>
    <row r="158">
      <c r="A158" t="n">
        <v>191</v>
      </c>
      <c r="B158" t="n">
        <v>0</v>
      </c>
      <c r="C158" t="n">
        <v>0.75</v>
      </c>
      <c r="D158" t="n">
        <v>0.85</v>
      </c>
      <c r="E158" t="n">
        <v>1.087222222222221</v>
      </c>
      <c r="F158" t="n">
        <v>1.104999999999999</v>
      </c>
      <c r="G158">
        <f>HYPERLINK("c:\Heatmap Final\Sweep_Results_final\A_0.85\Cost_0.75\HM_C_0.00_final.png", "View Heatmap")</f>
        <v/>
      </c>
    </row>
    <row r="159">
      <c r="A159" t="n">
        <v>192</v>
      </c>
      <c r="B159" t="n">
        <v>0.25</v>
      </c>
      <c r="C159" t="n">
        <v>0.75</v>
      </c>
      <c r="D159" t="n">
        <v>0.85</v>
      </c>
      <c r="E159" t="n">
        <v>1.698888888888889</v>
      </c>
      <c r="F159" t="n">
        <v>2.137222222222222</v>
      </c>
      <c r="G159">
        <f>HYPERLINK("c:\Heatmap Final\Sweep_Results_final\A_0.85\Cost_0.75\HM_C_0.25_final.png", "View Heatmap")</f>
        <v/>
      </c>
    </row>
    <row r="160">
      <c r="A160" t="n">
        <v>193</v>
      </c>
      <c r="B160" t="n">
        <v>0.5</v>
      </c>
      <c r="C160" t="n">
        <v>0.75</v>
      </c>
      <c r="D160" t="n">
        <v>0.85</v>
      </c>
      <c r="E160" t="n">
        <v>1.866666666666667</v>
      </c>
      <c r="F160" t="n">
        <v>2.664444444444444</v>
      </c>
      <c r="G160">
        <f>HYPERLINK("c:\Heatmap Final\Sweep_Results_final\A_0.85\Cost_0.75\HM_C_0.50_final.png", "View Heatmap")</f>
        <v/>
      </c>
    </row>
    <row r="161">
      <c r="A161" t="n">
        <v>194</v>
      </c>
      <c r="B161" t="n">
        <v>0.75</v>
      </c>
      <c r="C161" t="n">
        <v>0.75</v>
      </c>
      <c r="D161" t="n">
        <v>0.85</v>
      </c>
      <c r="E161" t="n">
        <v>1.783333333333333</v>
      </c>
      <c r="F161" t="n">
        <v>2.51</v>
      </c>
      <c r="G161">
        <f>HYPERLINK("c:\Heatmap Final\Sweep_Results_final\A_0.85\Cost_0.75\HM_C_0.75_final.png", "View Heatmap")</f>
        <v/>
      </c>
    </row>
    <row r="162">
      <c r="A162" t="n">
        <v>195</v>
      </c>
      <c r="B162" t="n">
        <v>1</v>
      </c>
      <c r="C162" t="n">
        <v>0.75</v>
      </c>
      <c r="D162" t="n">
        <v>0.85</v>
      </c>
      <c r="E162" t="n">
        <v>1.122777777777777</v>
      </c>
      <c r="F162" t="n">
        <v>1.141666666666667</v>
      </c>
      <c r="G162">
        <f>HYPERLINK("c:\Heatmap Final\Sweep_Results_final\A_0.85\Cost_0.75\HM_C_1.00_final.png", "View Heatmap")</f>
        <v/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</row>
    <row r="164">
      <c r="A164" t="n">
        <v>226</v>
      </c>
      <c r="B164" t="n">
        <v>0</v>
      </c>
      <c r="C164" t="n">
        <v>0.75</v>
      </c>
      <c r="D164" t="n">
        <v>1</v>
      </c>
      <c r="E164" t="n">
        <v>1.111666666666666</v>
      </c>
      <c r="F164" t="n">
        <v>1.137222222222222</v>
      </c>
      <c r="G164">
        <f>HYPERLINK("c:\Heatmap Final\Sweep_Results_final\A_1.00\Cost_0.75\HM_C_0.00_final.png", "View Heatmap")</f>
        <v/>
      </c>
    </row>
    <row r="165">
      <c r="A165" t="n">
        <v>227</v>
      </c>
      <c r="B165" t="n">
        <v>0.25</v>
      </c>
      <c r="C165" t="n">
        <v>0.75</v>
      </c>
      <c r="D165" t="n">
        <v>1</v>
      </c>
      <c r="E165" t="n">
        <v>1.704444444444445</v>
      </c>
      <c r="F165" t="n">
        <v>2.211666666666668</v>
      </c>
      <c r="G165">
        <f>HYPERLINK("c:\Heatmap Final\Sweep_Results_final\A_1.00\Cost_0.75\HM_C_0.25_final.png", "View Heatmap")</f>
        <v/>
      </c>
    </row>
    <row r="166">
      <c r="A166" t="n">
        <v>228</v>
      </c>
      <c r="B166" t="n">
        <v>0.5</v>
      </c>
      <c r="C166" t="n">
        <v>0.75</v>
      </c>
      <c r="D166" t="n">
        <v>1</v>
      </c>
      <c r="E166" t="n">
        <v>1.903888888888888</v>
      </c>
      <c r="F166" t="n">
        <v>2.743333333333333</v>
      </c>
      <c r="G166">
        <f>HYPERLINK("c:\Heatmap Final\Sweep_Results_final\A_1.00\Cost_0.75\HM_C_0.50_final.png", "View Heatmap")</f>
        <v/>
      </c>
    </row>
    <row r="167">
      <c r="A167" t="n">
        <v>229</v>
      </c>
      <c r="B167" t="n">
        <v>0.75</v>
      </c>
      <c r="C167" t="n">
        <v>0.75</v>
      </c>
      <c r="D167" t="n">
        <v>1</v>
      </c>
      <c r="E167" t="n">
        <v>1.77</v>
      </c>
      <c r="F167" t="n">
        <v>2.511666666666666</v>
      </c>
      <c r="G167">
        <f>HYPERLINK("c:\Heatmap Final\Sweep_Results_final\A_1.00\Cost_0.75\HM_C_0.75_final.png", "View Heatmap")</f>
        <v/>
      </c>
    </row>
    <row r="168">
      <c r="A168" t="n">
        <v>230</v>
      </c>
      <c r="B168" t="n">
        <v>1</v>
      </c>
      <c r="C168" t="n">
        <v>0.75</v>
      </c>
      <c r="D168" t="n">
        <v>1</v>
      </c>
      <c r="E168" t="n">
        <v>1.167222222222221</v>
      </c>
      <c r="F168" t="n">
        <v>1.17111111111111</v>
      </c>
      <c r="G168">
        <f>HYPERLINK("c:\Heatmap Final\Sweep_Results_final\A_1.00\Cost_0.75\HM_C_1.00_final.png", "View Heatmap")</f>
        <v/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</row>
    <row r="170">
      <c r="A170" t="n">
        <v>21</v>
      </c>
      <c r="B170" t="n">
        <v>0</v>
      </c>
      <c r="C170" t="n">
        <v>1</v>
      </c>
      <c r="D170" t="n">
        <v>0.1</v>
      </c>
      <c r="E170" t="n">
        <v>1.414444444444444</v>
      </c>
      <c r="F170" t="n">
        <v>1.592777777777778</v>
      </c>
      <c r="G170">
        <f>HYPERLINK("c:\Heatmap Final\Sweep_Results_final\A_0.10\Cost_1.00\HM_C_0.00_final.png", "View Heatmap")</f>
        <v/>
      </c>
    </row>
    <row r="171">
      <c r="A171" t="n">
        <v>22</v>
      </c>
      <c r="B171" t="n">
        <v>0.25</v>
      </c>
      <c r="C171" t="n">
        <v>1</v>
      </c>
      <c r="D171" t="n">
        <v>0.1</v>
      </c>
      <c r="E171" t="n">
        <v>1.437222222222222</v>
      </c>
      <c r="F171" t="n">
        <v>1.589444444444445</v>
      </c>
      <c r="G171">
        <f>HYPERLINK("c:\Heatmap Final\Sweep_Results_final\A_0.10\Cost_1.00\HM_C_0.25_final.png", "View Heatmap")</f>
        <v/>
      </c>
    </row>
    <row r="172">
      <c r="A172" t="n">
        <v>23</v>
      </c>
      <c r="B172" t="n">
        <v>0.5</v>
      </c>
      <c r="C172" t="n">
        <v>1</v>
      </c>
      <c r="D172" t="n">
        <v>0.1</v>
      </c>
      <c r="E172" t="n">
        <v>1.479444444444445</v>
      </c>
      <c r="F172" t="n">
        <v>1.629444444444444</v>
      </c>
      <c r="G172">
        <f>HYPERLINK("c:\Heatmap Final\Sweep_Results_final\A_0.10\Cost_1.00\HM_C_0.50_final.png", "View Heatmap")</f>
        <v/>
      </c>
    </row>
    <row r="173">
      <c r="A173" t="n">
        <v>24</v>
      </c>
      <c r="B173" t="n">
        <v>0.75</v>
      </c>
      <c r="C173" t="n">
        <v>1</v>
      </c>
      <c r="D173" t="n">
        <v>0.1</v>
      </c>
      <c r="E173" t="n">
        <v>1.572222222222222</v>
      </c>
      <c r="F173" t="n">
        <v>1.728888888888888</v>
      </c>
      <c r="G173">
        <f>HYPERLINK("c:\Heatmap Final\Sweep_Results_final\A_0.10\Cost_1.00\HM_C_0.75_final.png", "View Heatmap")</f>
        <v/>
      </c>
    </row>
    <row r="174">
      <c r="A174" t="n">
        <v>25</v>
      </c>
      <c r="B174" t="n">
        <v>1</v>
      </c>
      <c r="C174" t="n">
        <v>1</v>
      </c>
      <c r="D174" t="n">
        <v>0.1</v>
      </c>
      <c r="E174" t="n">
        <v>1.631111111111111</v>
      </c>
      <c r="F174" t="n">
        <v>1.803888888888888</v>
      </c>
      <c r="G174">
        <f>HYPERLINK("c:\Heatmap Final\Sweep_Results_final\A_0.10\Cost_1.00\HM_C_1.00_final.png", "View Heatmap")</f>
        <v/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</row>
    <row r="176">
      <c r="A176" t="n">
        <v>56</v>
      </c>
      <c r="B176" t="n">
        <v>0</v>
      </c>
      <c r="C176" t="n">
        <v>1</v>
      </c>
      <c r="D176" t="n">
        <v>0.25</v>
      </c>
      <c r="E176" t="n">
        <v>1.583333333333333</v>
      </c>
      <c r="F176" t="n">
        <v>1.959999999999999</v>
      </c>
      <c r="G176">
        <f>HYPERLINK("c:\Heatmap Final\Sweep_Results_final\A_0.25\Cost_1.00\HM_C_0.00_final.png", "View Heatmap")</f>
        <v/>
      </c>
    </row>
    <row r="177">
      <c r="A177" t="n">
        <v>57</v>
      </c>
      <c r="B177" t="n">
        <v>0.25</v>
      </c>
      <c r="C177" t="n">
        <v>1</v>
      </c>
      <c r="D177" t="n">
        <v>0.25</v>
      </c>
      <c r="E177" t="n">
        <v>1.599444444444445</v>
      </c>
      <c r="F177" t="n">
        <v>2.005</v>
      </c>
      <c r="G177">
        <f>HYPERLINK("c:\Heatmap Final\Sweep_Results_final\A_0.25\Cost_1.00\HM_C_0.25_final.png", "View Heatmap")</f>
        <v/>
      </c>
    </row>
    <row r="178">
      <c r="A178" t="n">
        <v>58</v>
      </c>
      <c r="B178" t="n">
        <v>0.5</v>
      </c>
      <c r="C178" t="n">
        <v>1</v>
      </c>
      <c r="D178" t="n">
        <v>0.25</v>
      </c>
      <c r="E178" t="n">
        <v>1.639444444444444</v>
      </c>
      <c r="F178" t="n">
        <v>1.992777777777778</v>
      </c>
      <c r="G178">
        <f>HYPERLINK("c:\Heatmap Final\Sweep_Results_final\A_0.25\Cost_1.00\HM_C_0.50_final.png", "View Heatmap")</f>
        <v/>
      </c>
    </row>
    <row r="179">
      <c r="A179" t="n">
        <v>59</v>
      </c>
      <c r="B179" t="n">
        <v>0.75</v>
      </c>
      <c r="C179" t="n">
        <v>1</v>
      </c>
      <c r="D179" t="n">
        <v>0.25</v>
      </c>
      <c r="E179" t="n">
        <v>1.641111111111111</v>
      </c>
      <c r="F179" t="n">
        <v>1.878888888888889</v>
      </c>
      <c r="G179">
        <f>HYPERLINK("c:\Heatmap Final\Sweep_Results_final\A_0.25\Cost_1.00\HM_C_0.75_final.png", "View Heatmap")</f>
        <v/>
      </c>
    </row>
    <row r="180">
      <c r="A180" t="n">
        <v>60</v>
      </c>
      <c r="B180" t="n">
        <v>1</v>
      </c>
      <c r="C180" t="n">
        <v>1</v>
      </c>
      <c r="D180" t="n">
        <v>0.25</v>
      </c>
      <c r="E180" t="n">
        <v>1.138333333333333</v>
      </c>
      <c r="F180" t="n">
        <v>1.242777777777778</v>
      </c>
      <c r="G180">
        <f>HYPERLINK("c:\Heatmap Final\Sweep_Results_final\A_0.25\Cost_1.00\HM_C_1.00_final.png", "View Heatmap")</f>
        <v/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</row>
    <row r="182">
      <c r="A182" t="n">
        <v>91</v>
      </c>
      <c r="B182" t="n">
        <v>0</v>
      </c>
      <c r="C182" t="n">
        <v>1</v>
      </c>
      <c r="D182" t="n">
        <v>0.4</v>
      </c>
      <c r="E182" t="n">
        <v>1.127222222222222</v>
      </c>
      <c r="F182" t="n">
        <v>1.128333333333333</v>
      </c>
      <c r="G182">
        <f>HYPERLINK("c:\Heatmap Final\Sweep_Results_final\A_0.40\Cost_1.00\HM_C_0.00_final.png", "View Heatmap")</f>
        <v/>
      </c>
    </row>
    <row r="183">
      <c r="A183" t="n">
        <v>92</v>
      </c>
      <c r="B183" t="n">
        <v>0.25</v>
      </c>
      <c r="C183" t="n">
        <v>1</v>
      </c>
      <c r="D183" t="n">
        <v>0.4</v>
      </c>
      <c r="E183" t="n">
        <v>1.539444444444445</v>
      </c>
      <c r="F183" t="n">
        <v>1.972222222222222</v>
      </c>
      <c r="G183">
        <f>HYPERLINK("c:\Heatmap Final\Sweep_Results_final\A_0.40\Cost_1.00\HM_C_0.25_final.png", "View Heatmap")</f>
        <v/>
      </c>
    </row>
    <row r="184">
      <c r="A184" t="n">
        <v>93</v>
      </c>
      <c r="B184" t="n">
        <v>0.5</v>
      </c>
      <c r="C184" t="n">
        <v>1</v>
      </c>
      <c r="D184" t="n">
        <v>0.4</v>
      </c>
      <c r="E184" t="n">
        <v>1.661111111111111</v>
      </c>
      <c r="F184" t="n">
        <v>2.211666666666667</v>
      </c>
      <c r="G184">
        <f>HYPERLINK("c:\Heatmap Final\Sweep_Results_final\A_0.40\Cost_1.00\HM_C_0.50_final.png", "View Heatmap")</f>
        <v/>
      </c>
    </row>
    <row r="185">
      <c r="A185" t="n">
        <v>94</v>
      </c>
      <c r="B185" t="n">
        <v>0.75</v>
      </c>
      <c r="C185" t="n">
        <v>1</v>
      </c>
      <c r="D185" t="n">
        <v>0.4</v>
      </c>
      <c r="E185" t="n">
        <v>1.464444444444445</v>
      </c>
      <c r="F185" t="n">
        <v>1.847777777777778</v>
      </c>
      <c r="G185">
        <f>HYPERLINK("c:\Heatmap Final\Sweep_Results_final\A_0.40\Cost_1.00\HM_C_0.75_final.png", "View Heatmap")</f>
        <v/>
      </c>
    </row>
    <row r="186">
      <c r="A186" t="n">
        <v>95</v>
      </c>
      <c r="B186" t="n">
        <v>1</v>
      </c>
      <c r="C186" t="n">
        <v>1</v>
      </c>
      <c r="D186" t="n">
        <v>0.4</v>
      </c>
      <c r="E186" t="n">
        <v>1.039444444444444</v>
      </c>
      <c r="F186" t="n">
        <v>1.045</v>
      </c>
      <c r="G186">
        <f>HYPERLINK("c:\Heatmap Final\Sweep_Results_final\A_0.40\Cost_1.00\HM_C_1.00_final.png", "View Heatmap")</f>
        <v/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</row>
    <row r="188">
      <c r="A188" t="n">
        <v>126</v>
      </c>
      <c r="B188" t="n">
        <v>0</v>
      </c>
      <c r="C188" t="n">
        <v>1</v>
      </c>
      <c r="D188" t="n">
        <v>0.55</v>
      </c>
      <c r="E188" t="n">
        <v>0.982777777777778</v>
      </c>
      <c r="F188" t="n">
        <v>0.982777777777778</v>
      </c>
      <c r="G188">
        <f>HYPERLINK("c:\Heatmap Final\Sweep_Results_final\A_0.55\Cost_1.00\HM_C_0.00_final.png", "View Heatmap")</f>
        <v/>
      </c>
    </row>
    <row r="189">
      <c r="A189" t="n">
        <v>127</v>
      </c>
      <c r="B189" t="n">
        <v>0.25</v>
      </c>
      <c r="C189" t="n">
        <v>1</v>
      </c>
      <c r="D189" t="n">
        <v>0.55</v>
      </c>
      <c r="E189" t="n">
        <v>1.175</v>
      </c>
      <c r="F189" t="n">
        <v>1.190555555555555</v>
      </c>
      <c r="G189">
        <f>HYPERLINK("c:\Heatmap Final\Sweep_Results_final\A_0.55\Cost_1.00\HM_C_0.25_final.png", "View Heatmap")</f>
        <v/>
      </c>
    </row>
    <row r="190">
      <c r="A190" t="n">
        <v>128</v>
      </c>
      <c r="B190" t="n">
        <v>0.5</v>
      </c>
      <c r="C190" t="n">
        <v>1</v>
      </c>
      <c r="D190" t="n">
        <v>0.55</v>
      </c>
      <c r="E190" t="n">
        <v>1.643888888888889</v>
      </c>
      <c r="F190" t="n">
        <v>2.226666666666667</v>
      </c>
      <c r="G190">
        <f>HYPERLINK("c:\Heatmap Final\Sweep_Results_final\A_0.55\Cost_1.00\HM_C_0.50_final.png", "View Heatmap")</f>
        <v/>
      </c>
    </row>
    <row r="191">
      <c r="A191" t="n">
        <v>129</v>
      </c>
      <c r="B191" t="n">
        <v>0.75</v>
      </c>
      <c r="C191" t="n">
        <v>1</v>
      </c>
      <c r="D191" t="n">
        <v>0.55</v>
      </c>
      <c r="E191" t="n">
        <v>1.464444444444445</v>
      </c>
      <c r="F191" t="n">
        <v>1.924444444444445</v>
      </c>
      <c r="G191">
        <f>HYPERLINK("c:\Heatmap Final\Sweep_Results_final\A_0.55\Cost_1.00\HM_C_0.75_final.png", "View Heatmap")</f>
        <v/>
      </c>
    </row>
    <row r="192">
      <c r="A192" t="n">
        <v>130</v>
      </c>
      <c r="B192" t="n">
        <v>1</v>
      </c>
      <c r="C192" t="n">
        <v>1</v>
      </c>
      <c r="D192" t="n">
        <v>0.55</v>
      </c>
      <c r="E192" t="n">
        <v>1.048333333333333</v>
      </c>
      <c r="F192" t="n">
        <v>1.05</v>
      </c>
      <c r="G192">
        <f>HYPERLINK("c:\Heatmap Final\Sweep_Results_final\A_0.55\Cost_1.00\HM_C_1.00_final.png", "View Heatmap")</f>
        <v/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  <row r="194">
      <c r="A194" t="n">
        <v>161</v>
      </c>
      <c r="B194" t="n">
        <v>0</v>
      </c>
      <c r="C194" t="n">
        <v>1</v>
      </c>
      <c r="D194" t="n">
        <v>0.7</v>
      </c>
      <c r="E194" t="n">
        <v>0.9655555555555556</v>
      </c>
      <c r="F194" t="n">
        <v>0.9655555555555556</v>
      </c>
      <c r="G194">
        <f>HYPERLINK("c:\Heatmap Final\Sweep_Results_final\A_0.70\Cost_1.00\HM_C_0.00_final.png", "View Heatmap")</f>
        <v/>
      </c>
    </row>
    <row r="195">
      <c r="A195" t="n">
        <v>162</v>
      </c>
      <c r="B195" t="n">
        <v>0.25</v>
      </c>
      <c r="C195" t="n">
        <v>1</v>
      </c>
      <c r="D195" t="n">
        <v>0.7</v>
      </c>
      <c r="E195" t="n">
        <v>0.9794444444444445</v>
      </c>
      <c r="F195" t="n">
        <v>0.9794444444444445</v>
      </c>
      <c r="G195">
        <f>HYPERLINK("c:\Heatmap Final\Sweep_Results_final\A_0.70\Cost_1.00\HM_C_0.25_final.png", "View Heatmap")</f>
        <v/>
      </c>
    </row>
    <row r="196">
      <c r="A196" t="n">
        <v>163</v>
      </c>
      <c r="B196" t="n">
        <v>0.5</v>
      </c>
      <c r="C196" t="n">
        <v>1</v>
      </c>
      <c r="D196" t="n">
        <v>0.7</v>
      </c>
      <c r="E196" t="n">
        <v>1.602222222222222</v>
      </c>
      <c r="F196" t="n">
        <v>2.108333333333333</v>
      </c>
      <c r="G196">
        <f>HYPERLINK("c:\Heatmap Final\Sweep_Results_final\A_0.70\Cost_1.00\HM_C_0.50_final.png", "View Heatmap")</f>
        <v/>
      </c>
    </row>
    <row r="197">
      <c r="A197" t="n">
        <v>164</v>
      </c>
      <c r="B197" t="n">
        <v>0.75</v>
      </c>
      <c r="C197" t="n">
        <v>1</v>
      </c>
      <c r="D197" t="n">
        <v>0.7</v>
      </c>
      <c r="E197" t="n">
        <v>1.485555555555556</v>
      </c>
      <c r="F197" t="n">
        <v>1.973888888888889</v>
      </c>
      <c r="G197">
        <f>HYPERLINK("c:\Heatmap Final\Sweep_Results_final\A_0.70\Cost_1.00\HM_C_0.75_final.png", "View Heatmap")</f>
        <v/>
      </c>
    </row>
    <row r="198">
      <c r="A198" t="n">
        <v>165</v>
      </c>
      <c r="B198" t="n">
        <v>1</v>
      </c>
      <c r="C198" t="n">
        <v>1</v>
      </c>
      <c r="D198" t="n">
        <v>0.7</v>
      </c>
      <c r="E198" t="n">
        <v>1.136666666666667</v>
      </c>
      <c r="F198" t="n">
        <v>1.137222222222223</v>
      </c>
      <c r="G198">
        <f>HYPERLINK("c:\Heatmap Final\Sweep_Results_final\A_0.70\Cost_1.00\HM_C_1.00_final.png", "View Heatmap")</f>
        <v/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</row>
    <row r="200">
      <c r="A200" t="n">
        <v>196</v>
      </c>
      <c r="B200" t="n">
        <v>0</v>
      </c>
      <c r="C200" t="n">
        <v>1</v>
      </c>
      <c r="D200" t="n">
        <v>0.85</v>
      </c>
      <c r="E200" t="n">
        <v>0.9166666666666666</v>
      </c>
      <c r="F200" t="n">
        <v>0.9166666666666666</v>
      </c>
      <c r="G200">
        <f>HYPERLINK("c:\Heatmap Final\Sweep_Results_final\A_0.85\Cost_1.00\HM_C_0.00_final.png", "View Heatmap")</f>
        <v/>
      </c>
    </row>
    <row r="201">
      <c r="A201" t="n">
        <v>197</v>
      </c>
      <c r="B201" t="n">
        <v>0.25</v>
      </c>
      <c r="C201" t="n">
        <v>1</v>
      </c>
      <c r="D201" t="n">
        <v>0.85</v>
      </c>
      <c r="E201" t="n">
        <v>0.9216666666666664</v>
      </c>
      <c r="F201" t="n">
        <v>0.9216666666666664</v>
      </c>
      <c r="G201">
        <f>HYPERLINK("c:\Heatmap Final\Sweep_Results_final\A_0.85\Cost_1.00\HM_C_0.25_final.png", "View Heatmap")</f>
        <v/>
      </c>
    </row>
    <row r="202">
      <c r="A202" t="n">
        <v>198</v>
      </c>
      <c r="B202" t="n">
        <v>0.5</v>
      </c>
      <c r="C202" t="n">
        <v>1</v>
      </c>
      <c r="D202" t="n">
        <v>0.85</v>
      </c>
      <c r="E202" t="n">
        <v>0.9622222222222216</v>
      </c>
      <c r="F202" t="n">
        <v>0.9622222222222216</v>
      </c>
      <c r="G202">
        <f>HYPERLINK("c:\Heatmap Final\Sweep_Results_final\A_0.85\Cost_1.00\HM_C_0.50_final.png", "View Heatmap")</f>
        <v/>
      </c>
    </row>
    <row r="203">
      <c r="A203" t="n">
        <v>199</v>
      </c>
      <c r="B203" t="n">
        <v>0.75</v>
      </c>
      <c r="C203" t="n">
        <v>1</v>
      </c>
      <c r="D203" t="n">
        <v>0.85</v>
      </c>
      <c r="E203" t="n">
        <v>1.490555555555556</v>
      </c>
      <c r="F203" t="n">
        <v>1.974444444444444</v>
      </c>
      <c r="G203">
        <f>HYPERLINK("c:\Heatmap Final\Sweep_Results_final\A_0.85\Cost_1.00\HM_C_0.75_final.png", "View Heatmap")</f>
        <v/>
      </c>
    </row>
    <row r="204">
      <c r="A204" t="n">
        <v>200</v>
      </c>
      <c r="B204" t="n">
        <v>1</v>
      </c>
      <c r="C204" t="n">
        <v>1</v>
      </c>
      <c r="D204" t="n">
        <v>0.85</v>
      </c>
      <c r="E204" t="n">
        <v>1.243888888888889</v>
      </c>
      <c r="F204" t="n">
        <v>1.246111111111111</v>
      </c>
      <c r="G204">
        <f>HYPERLINK("c:\Heatmap Final\Sweep_Results_final\A_0.85\Cost_1.00\HM_C_1.00_final.png", "View Heatmap")</f>
        <v/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</row>
    <row r="206">
      <c r="A206" t="n">
        <v>231</v>
      </c>
      <c r="B206" t="n">
        <v>0</v>
      </c>
      <c r="C206" t="n">
        <v>1</v>
      </c>
      <c r="D206" t="n">
        <v>1</v>
      </c>
      <c r="E206" t="n">
        <v>0.9172222222222222</v>
      </c>
      <c r="F206" t="n">
        <v>0.9172222222222222</v>
      </c>
      <c r="G206">
        <f>HYPERLINK("c:\Heatmap Final\Sweep_Results_final\A_1.00\Cost_1.00\HM_C_0.00_final.png", "View Heatmap")</f>
        <v/>
      </c>
    </row>
    <row r="207">
      <c r="A207" t="n">
        <v>232</v>
      </c>
      <c r="B207" t="n">
        <v>0.25</v>
      </c>
      <c r="C207" t="n">
        <v>1</v>
      </c>
      <c r="D207" t="n">
        <v>1</v>
      </c>
      <c r="E207" t="n">
        <v>0.9238888888888886</v>
      </c>
      <c r="F207" t="n">
        <v>0.9238888888888886</v>
      </c>
      <c r="G207">
        <f>HYPERLINK("c:\Heatmap Final\Sweep_Results_final\A_1.00\Cost_1.00\HM_C_0.25_final.png", "View Heatmap")</f>
        <v/>
      </c>
    </row>
    <row r="208">
      <c r="A208" t="n">
        <v>233</v>
      </c>
      <c r="B208" t="n">
        <v>0.5</v>
      </c>
      <c r="C208" t="n">
        <v>1</v>
      </c>
      <c r="D208" t="n">
        <v>1</v>
      </c>
      <c r="E208" t="n">
        <v>0.9327777777777776</v>
      </c>
      <c r="F208" t="n">
        <v>0.9338888888888884</v>
      </c>
      <c r="G208">
        <f>HYPERLINK("c:\Heatmap Final\Sweep_Results_final\A_1.00\Cost_1.00\HM_C_0.50_final.png", "View Heatmap")</f>
        <v/>
      </c>
    </row>
    <row r="209">
      <c r="A209" t="n">
        <v>234</v>
      </c>
      <c r="B209" t="n">
        <v>0.75</v>
      </c>
      <c r="C209" t="n">
        <v>1</v>
      </c>
      <c r="D209" t="n">
        <v>1</v>
      </c>
      <c r="E209" t="n">
        <v>1.242777777777778</v>
      </c>
      <c r="F209" t="n">
        <v>1.33</v>
      </c>
      <c r="G209">
        <f>HYPERLINK("c:\Heatmap Final\Sweep_Results_final\A_1.00\Cost_1.00\HM_C_0.75_final.png", "View Heatmap")</f>
        <v/>
      </c>
    </row>
    <row r="210">
      <c r="A210" t="n">
        <v>235</v>
      </c>
      <c r="B210" t="n">
        <v>1</v>
      </c>
      <c r="C210" t="n">
        <v>1</v>
      </c>
      <c r="D210" t="n">
        <v>1</v>
      </c>
      <c r="E210" t="n">
        <v>1.262222222222222</v>
      </c>
      <c r="F210" t="n">
        <v>1.263888888888888</v>
      </c>
      <c r="G210">
        <f>HYPERLINK("c:\Heatmap Final\Sweep_Results_final\A_1.00\Cost_1.00\HM_C_1.00_final.png", "View Heatmap")</f>
        <v/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</row>
    <row r="212">
      <c r="A212" t="n">
        <v>26</v>
      </c>
      <c r="B212" t="n">
        <v>0</v>
      </c>
      <c r="C212" t="n">
        <v>1.25</v>
      </c>
      <c r="D212" t="n">
        <v>0.1</v>
      </c>
      <c r="E212" t="n">
        <v>1.438888888888889</v>
      </c>
      <c r="F212" t="n">
        <v>1.654444444444444</v>
      </c>
      <c r="G212">
        <f>HYPERLINK("c:\Heatmap Final\Sweep_Results_final\A_0.10\Cost_1.25\HM_C_0.00_final.png", "View Heatmap")</f>
        <v/>
      </c>
    </row>
    <row r="213">
      <c r="A213" t="n">
        <v>27</v>
      </c>
      <c r="B213" t="n">
        <v>0.25</v>
      </c>
      <c r="C213" t="n">
        <v>1.25</v>
      </c>
      <c r="D213" t="n">
        <v>0.1</v>
      </c>
      <c r="E213" t="n">
        <v>1.466666666666667</v>
      </c>
      <c r="F213" t="n">
        <v>1.630555555555556</v>
      </c>
      <c r="G213">
        <f>HYPERLINK("c:\Heatmap Final\Sweep_Results_final\A_0.10\Cost_1.25\HM_C_0.25_final.png", "View Heatmap")</f>
        <v/>
      </c>
    </row>
    <row r="214">
      <c r="A214" t="n">
        <v>28</v>
      </c>
      <c r="B214" t="n">
        <v>0.5</v>
      </c>
      <c r="C214" t="n">
        <v>1.25</v>
      </c>
      <c r="D214" t="n">
        <v>0.1</v>
      </c>
      <c r="E214" t="n">
        <v>1.521111111111112</v>
      </c>
      <c r="F214" t="n">
        <v>1.669444444444445</v>
      </c>
      <c r="G214">
        <f>HYPERLINK("c:\Heatmap Final\Sweep_Results_final\A_0.10\Cost_1.25\HM_C_0.50_final.png", "View Heatmap")</f>
        <v/>
      </c>
    </row>
    <row r="215">
      <c r="A215" t="n">
        <v>29</v>
      </c>
      <c r="B215" t="n">
        <v>0.75</v>
      </c>
      <c r="C215" t="n">
        <v>1.25</v>
      </c>
      <c r="D215" t="n">
        <v>0.1</v>
      </c>
      <c r="E215" t="n">
        <v>1.611666666666667</v>
      </c>
      <c r="F215" t="n">
        <v>1.76</v>
      </c>
      <c r="G215">
        <f>HYPERLINK("c:\Heatmap Final\Sweep_Results_final\A_0.10\Cost_1.25\HM_C_0.75_final.png", "View Heatmap")</f>
        <v/>
      </c>
    </row>
    <row r="216">
      <c r="A216" t="n">
        <v>30</v>
      </c>
      <c r="B216" t="n">
        <v>1</v>
      </c>
      <c r="C216" t="n">
        <v>1.25</v>
      </c>
      <c r="D216" t="n">
        <v>0.1</v>
      </c>
      <c r="E216" t="n">
        <v>1.656111111111111</v>
      </c>
      <c r="F216" t="n">
        <v>1.819444444444444</v>
      </c>
      <c r="G216">
        <f>HYPERLINK("c:\Heatmap Final\Sweep_Results_final\A_0.10\Cost_1.25\HM_C_1.00_final.png", "View Heatmap")</f>
        <v/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</row>
    <row r="218">
      <c r="A218" t="n">
        <v>61</v>
      </c>
      <c r="B218" t="n">
        <v>0</v>
      </c>
      <c r="C218" t="n">
        <v>1.25</v>
      </c>
      <c r="D218" t="n">
        <v>0.25</v>
      </c>
      <c r="E218" t="n">
        <v>1.451111111111112</v>
      </c>
      <c r="F218" t="n">
        <v>1.698333333333333</v>
      </c>
      <c r="G218">
        <f>HYPERLINK("c:\Heatmap Final\Sweep_Results_final\A_0.25\Cost_1.25\HM_C_0.00_final.png", "View Heatmap")</f>
        <v/>
      </c>
    </row>
    <row r="219">
      <c r="A219" t="n">
        <v>62</v>
      </c>
      <c r="B219" t="n">
        <v>0.25</v>
      </c>
      <c r="C219" t="n">
        <v>1.25</v>
      </c>
      <c r="D219" t="n">
        <v>0.25</v>
      </c>
      <c r="E219" t="n">
        <v>1.531111111111111</v>
      </c>
      <c r="F219" t="n">
        <v>1.930555555555556</v>
      </c>
      <c r="G219">
        <f>HYPERLINK("c:\Heatmap Final\Sweep_Results_final\A_0.25\Cost_1.25\HM_C_0.25_final.png", "View Heatmap")</f>
        <v/>
      </c>
    </row>
    <row r="220">
      <c r="A220" t="n">
        <v>63</v>
      </c>
      <c r="B220" t="n">
        <v>0.5</v>
      </c>
      <c r="C220" t="n">
        <v>1.25</v>
      </c>
      <c r="D220" t="n">
        <v>0.25</v>
      </c>
      <c r="E220" t="n">
        <v>1.607222222222222</v>
      </c>
      <c r="F220" t="n">
        <v>2.052777777777777</v>
      </c>
      <c r="G220">
        <f>HYPERLINK("c:\Heatmap Final\Sweep_Results_final\A_0.25\Cost_1.25\HM_C_0.50_final.png", "View Heatmap")</f>
        <v/>
      </c>
    </row>
    <row r="221">
      <c r="A221" t="n">
        <v>64</v>
      </c>
      <c r="B221" t="n">
        <v>0.75</v>
      </c>
      <c r="C221" t="n">
        <v>1.25</v>
      </c>
      <c r="D221" t="n">
        <v>0.25</v>
      </c>
      <c r="E221" t="n">
        <v>1.560555555555556</v>
      </c>
      <c r="F221" t="n">
        <v>1.892777777777777</v>
      </c>
      <c r="G221">
        <f>HYPERLINK("c:\Heatmap Final\Sweep_Results_final\A_0.25\Cost_1.25\HM_C_0.75_final.png", "View Heatmap")</f>
        <v/>
      </c>
    </row>
    <row r="222">
      <c r="A222" t="n">
        <v>65</v>
      </c>
      <c r="B222" t="n">
        <v>1</v>
      </c>
      <c r="C222" t="n">
        <v>1.25</v>
      </c>
      <c r="D222" t="n">
        <v>0.25</v>
      </c>
      <c r="E222" t="n">
        <v>1.085</v>
      </c>
      <c r="F222" t="n">
        <v>1.122777777777778</v>
      </c>
      <c r="G222">
        <f>HYPERLINK("c:\Heatmap Final\Sweep_Results_final\A_0.25\Cost_1.25\HM_C_1.00_final.png", "View Heatmap")</f>
        <v/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</row>
    <row r="224">
      <c r="A224" t="n">
        <v>96</v>
      </c>
      <c r="B224" t="n">
        <v>0</v>
      </c>
      <c r="C224" t="n">
        <v>1.25</v>
      </c>
      <c r="D224" t="n">
        <v>0.4</v>
      </c>
      <c r="E224" t="n">
        <v>0.9777777777777776</v>
      </c>
      <c r="F224" t="n">
        <v>0.9777777777777776</v>
      </c>
      <c r="G224">
        <f>HYPERLINK("c:\Heatmap Final\Sweep_Results_final\A_0.40\Cost_1.25\HM_C_0.00_final.png", "View Heatmap")</f>
        <v/>
      </c>
    </row>
    <row r="225">
      <c r="A225" t="n">
        <v>97</v>
      </c>
      <c r="B225" t="n">
        <v>0.25</v>
      </c>
      <c r="C225" t="n">
        <v>1.25</v>
      </c>
      <c r="D225" t="n">
        <v>0.4</v>
      </c>
      <c r="E225" t="n">
        <v>1.407222222222222</v>
      </c>
      <c r="F225" t="n">
        <v>1.709444444444445</v>
      </c>
      <c r="G225">
        <f>HYPERLINK("c:\Heatmap Final\Sweep_Results_final\A_0.40\Cost_1.25\HM_C_0.25_final.png", "View Heatmap")</f>
        <v/>
      </c>
    </row>
    <row r="226">
      <c r="A226" t="n">
        <v>98</v>
      </c>
      <c r="B226" t="n">
        <v>0.5</v>
      </c>
      <c r="C226" t="n">
        <v>1.25</v>
      </c>
      <c r="D226" t="n">
        <v>0.4</v>
      </c>
      <c r="E226" t="n">
        <v>1.619444444444444</v>
      </c>
      <c r="F226" t="n">
        <v>2.179444444444445</v>
      </c>
      <c r="G226">
        <f>HYPERLINK("c:\Heatmap Final\Sweep_Results_final\A_0.40\Cost_1.25\HM_C_0.50_final.png", "View Heatmap")</f>
        <v/>
      </c>
    </row>
    <row r="227">
      <c r="A227" t="n">
        <v>99</v>
      </c>
      <c r="B227" t="n">
        <v>0.75</v>
      </c>
      <c r="C227" t="n">
        <v>1.25</v>
      </c>
      <c r="D227" t="n">
        <v>0.4</v>
      </c>
      <c r="E227" t="n">
        <v>1.456666666666667</v>
      </c>
      <c r="F227" t="n">
        <v>1.911111111111111</v>
      </c>
      <c r="G227">
        <f>HYPERLINK("c:\Heatmap Final\Sweep_Results_final\A_0.40\Cost_1.25\HM_C_0.75_final.png", "View Heatmap")</f>
        <v/>
      </c>
    </row>
    <row r="228">
      <c r="A228" t="n">
        <v>100</v>
      </c>
      <c r="B228" t="n">
        <v>1</v>
      </c>
      <c r="C228" t="n">
        <v>1.25</v>
      </c>
      <c r="D228" t="n">
        <v>0.4</v>
      </c>
      <c r="E228" t="n">
        <v>0.9955555555555556</v>
      </c>
      <c r="F228" t="n">
        <v>0.9955555555555556</v>
      </c>
      <c r="G228">
        <f>HYPERLINK("c:\Heatmap Final\Sweep_Results_final\A_0.40\Cost_1.25\HM_C_1.00_final.png", "View Heatmap")</f>
        <v/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</row>
    <row r="230">
      <c r="A230" t="n">
        <v>131</v>
      </c>
      <c r="B230" t="n">
        <v>0</v>
      </c>
      <c r="C230" t="n">
        <v>1.25</v>
      </c>
      <c r="D230" t="n">
        <v>0.55</v>
      </c>
      <c r="E230" t="n">
        <v>0.957222222222222</v>
      </c>
      <c r="F230" t="n">
        <v>0.957222222222222</v>
      </c>
      <c r="G230">
        <f>HYPERLINK("c:\Heatmap Final\Sweep_Results_final\A_0.55\Cost_1.25\HM_C_0.00_final.png", "View Heatmap")</f>
        <v/>
      </c>
    </row>
    <row r="231">
      <c r="A231" t="n">
        <v>132</v>
      </c>
      <c r="B231" t="n">
        <v>0.25</v>
      </c>
      <c r="C231" t="n">
        <v>1.25</v>
      </c>
      <c r="D231" t="n">
        <v>0.55</v>
      </c>
      <c r="E231" t="n">
        <v>0.9644444444444444</v>
      </c>
      <c r="F231" t="n">
        <v>0.9644444444444444</v>
      </c>
      <c r="G231">
        <f>HYPERLINK("c:\Heatmap Final\Sweep_Results_final\A_0.55\Cost_1.25\HM_C_0.25_final.png", "View Heatmap")</f>
        <v/>
      </c>
    </row>
    <row r="232">
      <c r="A232" t="n">
        <v>133</v>
      </c>
      <c r="B232" t="n">
        <v>0.5</v>
      </c>
      <c r="C232" t="n">
        <v>1.25</v>
      </c>
      <c r="D232" t="n">
        <v>0.55</v>
      </c>
      <c r="E232" t="n">
        <v>1.518333333333334</v>
      </c>
      <c r="F232" t="n">
        <v>1.945555555555556</v>
      </c>
      <c r="G232">
        <f>HYPERLINK("c:\Heatmap Final\Sweep_Results_final\A_0.55\Cost_1.25\HM_C_0.50_final.png", "View Heatmap")</f>
        <v/>
      </c>
    </row>
    <row r="233">
      <c r="A233" t="n">
        <v>134</v>
      </c>
      <c r="B233" t="n">
        <v>0.75</v>
      </c>
      <c r="C233" t="n">
        <v>1.25</v>
      </c>
      <c r="D233" t="n">
        <v>0.55</v>
      </c>
      <c r="E233" t="n">
        <v>1.487777777777778</v>
      </c>
      <c r="F233" t="n">
        <v>1.99</v>
      </c>
      <c r="G233">
        <f>HYPERLINK("c:\Heatmap Final\Sweep_Results_final\A_0.55\Cost_1.25\HM_C_0.75_final.png", "View Heatmap")</f>
        <v/>
      </c>
    </row>
    <row r="234">
      <c r="A234" t="n">
        <v>135</v>
      </c>
      <c r="B234" t="n">
        <v>1</v>
      </c>
      <c r="C234" t="n">
        <v>1.25</v>
      </c>
      <c r="D234" t="n">
        <v>0.55</v>
      </c>
      <c r="E234" t="n">
        <v>1.02</v>
      </c>
      <c r="F234" t="n">
        <v>1.02</v>
      </c>
      <c r="G234">
        <f>HYPERLINK("c:\Heatmap Final\Sweep_Results_final\A_0.55\Cost_1.25\HM_C_1.00_final.png", "View Heatmap")</f>
        <v/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</row>
    <row r="236">
      <c r="A236" t="n">
        <v>166</v>
      </c>
      <c r="B236" t="n">
        <v>0</v>
      </c>
      <c r="C236" t="n">
        <v>1.25</v>
      </c>
      <c r="D236" t="n">
        <v>0.7</v>
      </c>
      <c r="E236" t="n">
        <v>0.9166666666666666</v>
      </c>
      <c r="F236" t="n">
        <v>0.9166666666666666</v>
      </c>
      <c r="G236">
        <f>HYPERLINK("c:\Heatmap Final\Sweep_Results_final\A_0.70\Cost_1.25\HM_C_0.00_final.png", "View Heatmap")</f>
        <v/>
      </c>
    </row>
    <row r="237">
      <c r="A237" t="n">
        <v>167</v>
      </c>
      <c r="B237" t="n">
        <v>0.25</v>
      </c>
      <c r="C237" t="n">
        <v>1.25</v>
      </c>
      <c r="D237" t="n">
        <v>0.7</v>
      </c>
      <c r="E237" t="n">
        <v>0.9166666666666666</v>
      </c>
      <c r="F237" t="n">
        <v>0.9166666666666666</v>
      </c>
      <c r="G237">
        <f>HYPERLINK("c:\Heatmap Final\Sweep_Results_final\A_0.70\Cost_1.25\HM_C_0.25_final.png", "View Heatmap")</f>
        <v/>
      </c>
    </row>
    <row r="238">
      <c r="A238" t="n">
        <v>168</v>
      </c>
      <c r="B238" t="n">
        <v>0.5</v>
      </c>
      <c r="C238" t="n">
        <v>1.25</v>
      </c>
      <c r="D238" t="n">
        <v>0.7</v>
      </c>
      <c r="E238" t="n">
        <v>0.9266666666666664</v>
      </c>
      <c r="F238" t="n">
        <v>0.9266666666666664</v>
      </c>
      <c r="G238">
        <f>HYPERLINK("c:\Heatmap Final\Sweep_Results_final\A_0.70\Cost_1.25\HM_C_0.50_final.png", "View Heatmap")</f>
        <v/>
      </c>
    </row>
    <row r="239">
      <c r="A239" t="n">
        <v>169</v>
      </c>
      <c r="B239" t="n">
        <v>0.75</v>
      </c>
      <c r="C239" t="n">
        <v>1.25</v>
      </c>
      <c r="D239" t="n">
        <v>0.7</v>
      </c>
      <c r="E239" t="n">
        <v>1.466111111111111</v>
      </c>
      <c r="F239" t="n">
        <v>1.905000000000001</v>
      </c>
      <c r="G239">
        <f>HYPERLINK("c:\Heatmap Final\Sweep_Results_final\A_0.70\Cost_1.25\HM_C_0.75_final.png", "View Heatmap")</f>
        <v/>
      </c>
    </row>
    <row r="240">
      <c r="A240" t="n">
        <v>170</v>
      </c>
      <c r="B240" t="n">
        <v>1</v>
      </c>
      <c r="C240" t="n">
        <v>1.25</v>
      </c>
      <c r="D240" t="n">
        <v>0.7</v>
      </c>
      <c r="E240" t="n">
        <v>1.181666666666667</v>
      </c>
      <c r="F240" t="n">
        <v>1.181666666666667</v>
      </c>
      <c r="G240">
        <f>HYPERLINK("c:\Heatmap Final\Sweep_Results_final\A_0.70\Cost_1.25\HM_C_1.00_final.png", "View Heatmap")</f>
        <v/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</row>
    <row r="242">
      <c r="A242" t="n">
        <v>201</v>
      </c>
      <c r="B242" t="n">
        <v>0</v>
      </c>
      <c r="C242" t="n">
        <v>1.25</v>
      </c>
      <c r="D242" t="n">
        <v>0.85</v>
      </c>
      <c r="E242" t="n">
        <v>0.9166666666666666</v>
      </c>
      <c r="F242" t="n">
        <v>0.9166666666666666</v>
      </c>
      <c r="G242">
        <f>HYPERLINK("c:\Heatmap Final\Sweep_Results_final\A_0.85\Cost_1.25\HM_C_0.00_final.png", "View Heatmap")</f>
        <v/>
      </c>
    </row>
    <row r="243">
      <c r="A243" t="n">
        <v>202</v>
      </c>
      <c r="B243" t="n">
        <v>0.25</v>
      </c>
      <c r="C243" t="n">
        <v>1.25</v>
      </c>
      <c r="D243" t="n">
        <v>0.85</v>
      </c>
      <c r="E243" t="n">
        <v>0.9166666666666666</v>
      </c>
      <c r="F243" t="n">
        <v>0.9166666666666666</v>
      </c>
      <c r="G243">
        <f>HYPERLINK("c:\Heatmap Final\Sweep_Results_final\A_0.85\Cost_1.25\HM_C_0.25_final.png", "View Heatmap")</f>
        <v/>
      </c>
    </row>
    <row r="244">
      <c r="A244" t="n">
        <v>203</v>
      </c>
      <c r="B244" t="n">
        <v>0.5</v>
      </c>
      <c r="C244" t="n">
        <v>1.25</v>
      </c>
      <c r="D244" t="n">
        <v>0.85</v>
      </c>
      <c r="E244" t="n">
        <v>0.9166666666666666</v>
      </c>
      <c r="F244" t="n">
        <v>0.9166666666666666</v>
      </c>
      <c r="G244">
        <f>HYPERLINK("c:\Heatmap Final\Sweep_Results_final\A_0.85\Cost_1.25\HM_C_0.50_final.png", "View Heatmap")</f>
        <v/>
      </c>
    </row>
    <row r="245">
      <c r="A245" t="n">
        <v>204</v>
      </c>
      <c r="B245" t="n">
        <v>0.75</v>
      </c>
      <c r="C245" t="n">
        <v>1.25</v>
      </c>
      <c r="D245" t="n">
        <v>0.85</v>
      </c>
      <c r="E245" t="n">
        <v>1.115</v>
      </c>
      <c r="F245" t="n">
        <v>1.121111111111111</v>
      </c>
      <c r="G245">
        <f>HYPERLINK("c:\Heatmap Final\Sweep_Results_final\A_0.85\Cost_1.25\HM_C_0.75_final.png", "View Heatmap")</f>
        <v/>
      </c>
    </row>
    <row r="246">
      <c r="A246" t="n">
        <v>205</v>
      </c>
      <c r="B246" t="n">
        <v>1</v>
      </c>
      <c r="C246" t="n">
        <v>1.25</v>
      </c>
      <c r="D246" t="n">
        <v>0.85</v>
      </c>
      <c r="E246" t="n">
        <v>1.219444444444444</v>
      </c>
      <c r="F246" t="n">
        <v>1.219444444444444</v>
      </c>
      <c r="G246">
        <f>HYPERLINK("c:\Heatmap Final\Sweep_Results_final\A_0.85\Cost_1.25\HM_C_1.00_final.png", "View Heatmap")</f>
        <v/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</row>
    <row r="248">
      <c r="A248" t="n">
        <v>236</v>
      </c>
      <c r="B248" t="n">
        <v>0</v>
      </c>
      <c r="C248" t="n">
        <v>1.25</v>
      </c>
      <c r="D248" t="n">
        <v>1</v>
      </c>
      <c r="E248" t="n">
        <v>0.9166666666666666</v>
      </c>
      <c r="F248" t="n">
        <v>0.9166666666666666</v>
      </c>
      <c r="G248">
        <f>HYPERLINK("c:\Heatmap Final\Sweep_Results_final\A_1.00\Cost_1.25\HM_C_0.00_final.png", "View Heatmap")</f>
        <v/>
      </c>
    </row>
    <row r="249">
      <c r="A249" t="n">
        <v>237</v>
      </c>
      <c r="B249" t="n">
        <v>0.25</v>
      </c>
      <c r="C249" t="n">
        <v>1.25</v>
      </c>
      <c r="D249" t="n">
        <v>1</v>
      </c>
      <c r="E249" t="n">
        <v>0.9166666666666666</v>
      </c>
      <c r="F249" t="n">
        <v>0.9166666666666666</v>
      </c>
      <c r="G249">
        <f>HYPERLINK("c:\Heatmap Final\Sweep_Results_final\A_1.00\Cost_1.25\HM_C_0.25_final.png", "View Heatmap")</f>
        <v/>
      </c>
    </row>
    <row r="250">
      <c r="A250" t="n">
        <v>238</v>
      </c>
      <c r="B250" t="n">
        <v>0.5</v>
      </c>
      <c r="C250" t="n">
        <v>1.25</v>
      </c>
      <c r="D250" t="n">
        <v>1</v>
      </c>
      <c r="E250" t="n">
        <v>0.9166666666666666</v>
      </c>
      <c r="F250" t="n">
        <v>0.9166666666666666</v>
      </c>
      <c r="G250">
        <f>HYPERLINK("c:\Heatmap Final\Sweep_Results_final\A_1.00\Cost_1.25\HM_C_0.50_final.png", "View Heatmap")</f>
        <v/>
      </c>
    </row>
    <row r="251">
      <c r="A251" t="n">
        <v>239</v>
      </c>
      <c r="B251" t="n">
        <v>0.75</v>
      </c>
      <c r="C251" t="n">
        <v>1.25</v>
      </c>
      <c r="D251" t="n">
        <v>1</v>
      </c>
      <c r="E251" t="n">
        <v>0.9183333333333332</v>
      </c>
      <c r="F251" t="n">
        <v>0.9183333333333332</v>
      </c>
      <c r="G251">
        <f>HYPERLINK("c:\Heatmap Final\Sweep_Results_final\A_1.00\Cost_1.25\HM_C_0.75_final.png", "View Heatmap")</f>
        <v/>
      </c>
    </row>
    <row r="252">
      <c r="A252" t="n">
        <v>240</v>
      </c>
      <c r="B252" t="n">
        <v>1</v>
      </c>
      <c r="C252" t="n">
        <v>1.25</v>
      </c>
      <c r="D252" t="n">
        <v>1</v>
      </c>
      <c r="E252" t="n">
        <v>1.237222222222222</v>
      </c>
      <c r="F252" t="n">
        <v>1.237222222222222</v>
      </c>
      <c r="G252">
        <f>HYPERLINK("c:\Heatmap Final\Sweep_Results_final\A_1.00\Cost_1.25\HM_C_1.00_final.png", "View Heatmap")</f>
        <v/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</row>
    <row r="254">
      <c r="A254" t="n">
        <v>31</v>
      </c>
      <c r="B254" t="n">
        <v>0</v>
      </c>
      <c r="C254" t="n">
        <v>1.5</v>
      </c>
      <c r="D254" t="n">
        <v>0.1</v>
      </c>
      <c r="E254" t="n">
        <v>1.469444444444445</v>
      </c>
      <c r="F254" t="n">
        <v>1.764999999999999</v>
      </c>
      <c r="G254">
        <f>HYPERLINK("c:\Heatmap Final\Sweep_Results_final\A_0.10\Cost_1.50\HM_C_0.00_final.png", "View Heatmap")</f>
        <v/>
      </c>
    </row>
    <row r="255">
      <c r="A255" t="n">
        <v>32</v>
      </c>
      <c r="B255" t="n">
        <v>0.25</v>
      </c>
      <c r="C255" t="n">
        <v>1.5</v>
      </c>
      <c r="D255" t="n">
        <v>0.1</v>
      </c>
      <c r="E255" t="n">
        <v>1.507222222222222</v>
      </c>
      <c r="F255" t="n">
        <v>1.702222222222223</v>
      </c>
      <c r="G255">
        <f>HYPERLINK("c:\Heatmap Final\Sweep_Results_final\A_0.10\Cost_1.50\HM_C_0.25_final.png", "View Heatmap")</f>
        <v/>
      </c>
    </row>
    <row r="256">
      <c r="A256" t="n">
        <v>33</v>
      </c>
      <c r="B256" t="n">
        <v>0.5</v>
      </c>
      <c r="C256" t="n">
        <v>1.5</v>
      </c>
      <c r="D256" t="n">
        <v>0.1</v>
      </c>
      <c r="E256" t="n">
        <v>1.565</v>
      </c>
      <c r="F256" t="n">
        <v>1.73</v>
      </c>
      <c r="G256">
        <f>HYPERLINK("c:\Heatmap Final\Sweep_Results_final\A_0.10\Cost_1.50\HM_C_0.50_final.png", "View Heatmap")</f>
        <v/>
      </c>
    </row>
    <row r="257">
      <c r="A257" t="n">
        <v>34</v>
      </c>
      <c r="B257" t="n">
        <v>0.75</v>
      </c>
      <c r="C257" t="n">
        <v>1.5</v>
      </c>
      <c r="D257" t="n">
        <v>0.1</v>
      </c>
      <c r="E257" t="n">
        <v>1.631111111111111</v>
      </c>
      <c r="F257" t="n">
        <v>1.786111111111111</v>
      </c>
      <c r="G257">
        <f>HYPERLINK("c:\Heatmap Final\Sweep_Results_final\A_0.10\Cost_1.50\HM_C_0.75_final.png", "View Heatmap")</f>
        <v/>
      </c>
    </row>
    <row r="258">
      <c r="A258" t="n">
        <v>35</v>
      </c>
      <c r="B258" t="n">
        <v>1</v>
      </c>
      <c r="C258" t="n">
        <v>1.5</v>
      </c>
      <c r="D258" t="n">
        <v>0.1</v>
      </c>
      <c r="E258" t="n">
        <v>1.648333333333333</v>
      </c>
      <c r="F258" t="n">
        <v>1.805555555555556</v>
      </c>
      <c r="G258">
        <f>HYPERLINK("c:\Heatmap Final\Sweep_Results_final\A_0.10\Cost_1.50\HM_C_1.00_final.png", "View Heatmap")</f>
        <v/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</row>
    <row r="260">
      <c r="A260" t="n">
        <v>66</v>
      </c>
      <c r="B260" t="n">
        <v>0</v>
      </c>
      <c r="C260" t="n">
        <v>1.5</v>
      </c>
      <c r="D260" t="n">
        <v>0.25</v>
      </c>
      <c r="E260" t="n">
        <v>1.176666666666667</v>
      </c>
      <c r="F260" t="n">
        <v>1.181666666666667</v>
      </c>
      <c r="G260">
        <f>HYPERLINK("c:\Heatmap Final\Sweep_Results_final\A_0.25\Cost_1.50\HM_C_0.00_final.png", "View Heatmap")</f>
        <v/>
      </c>
    </row>
    <row r="261">
      <c r="A261" t="n">
        <v>67</v>
      </c>
      <c r="B261" t="n">
        <v>0.25</v>
      </c>
      <c r="C261" t="n">
        <v>1.5</v>
      </c>
      <c r="D261" t="n">
        <v>0.25</v>
      </c>
      <c r="E261" t="n">
        <v>1.46</v>
      </c>
      <c r="F261" t="n">
        <v>1.845</v>
      </c>
      <c r="G261">
        <f>HYPERLINK("c:\Heatmap Final\Sweep_Results_final\A_0.25\Cost_1.50\HM_C_0.25_final.png", "View Heatmap")</f>
        <v/>
      </c>
    </row>
    <row r="262">
      <c r="A262" t="n">
        <v>68</v>
      </c>
      <c r="B262" t="n">
        <v>0.5</v>
      </c>
      <c r="C262" t="n">
        <v>1.5</v>
      </c>
      <c r="D262" t="n">
        <v>0.25</v>
      </c>
      <c r="E262" t="n">
        <v>1.574444444444444</v>
      </c>
      <c r="F262" t="n">
        <v>2.05</v>
      </c>
      <c r="G262">
        <f>HYPERLINK("c:\Heatmap Final\Sweep_Results_final\A_0.25\Cost_1.50\HM_C_0.50_final.png", "View Heatmap")</f>
        <v/>
      </c>
    </row>
    <row r="263">
      <c r="A263" t="n">
        <v>69</v>
      </c>
      <c r="B263" t="n">
        <v>0.75</v>
      </c>
      <c r="C263" t="n">
        <v>1.5</v>
      </c>
      <c r="D263" t="n">
        <v>0.25</v>
      </c>
      <c r="E263" t="n">
        <v>1.448333333333333</v>
      </c>
      <c r="F263" t="n">
        <v>1.822777777777777</v>
      </c>
      <c r="G263">
        <f>HYPERLINK("c:\Heatmap Final\Sweep_Results_final\A_0.25\Cost_1.50\HM_C_0.75_final.png", "View Heatmap")</f>
        <v/>
      </c>
    </row>
    <row r="264">
      <c r="A264" t="n">
        <v>70</v>
      </c>
      <c r="B264" t="n">
        <v>1</v>
      </c>
      <c r="C264" t="n">
        <v>1.5</v>
      </c>
      <c r="D264" t="n">
        <v>0.25</v>
      </c>
      <c r="E264" t="n">
        <v>1.009444444444445</v>
      </c>
      <c r="F264" t="n">
        <v>1.011111111111111</v>
      </c>
      <c r="G264">
        <f>HYPERLINK("c:\Heatmap Final\Sweep_Results_final\A_0.25\Cost_1.50\HM_C_1.00_final.png", "View Heatmap")</f>
        <v/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</row>
    <row r="266">
      <c r="A266" t="n">
        <v>101</v>
      </c>
      <c r="B266" t="n">
        <v>0</v>
      </c>
      <c r="C266" t="n">
        <v>1.5</v>
      </c>
      <c r="D266" t="n">
        <v>0.4</v>
      </c>
      <c r="E266" t="n">
        <v>0.9705555555555556</v>
      </c>
      <c r="F266" t="n">
        <v>0.9705555555555556</v>
      </c>
      <c r="G266">
        <f>HYPERLINK("c:\Heatmap Final\Sweep_Results_final\A_0.40\Cost_1.50\HM_C_0.00_final.png", "View Heatmap")</f>
        <v/>
      </c>
    </row>
    <row r="267">
      <c r="A267" t="n">
        <v>102</v>
      </c>
      <c r="B267" t="n">
        <v>0.25</v>
      </c>
      <c r="C267" t="n">
        <v>1.5</v>
      </c>
      <c r="D267" t="n">
        <v>0.4</v>
      </c>
      <c r="E267" t="n">
        <v>1.057777777777777</v>
      </c>
      <c r="F267" t="n">
        <v>1.063888888888888</v>
      </c>
      <c r="G267">
        <f>HYPERLINK("c:\Heatmap Final\Sweep_Results_final\A_0.40\Cost_1.50\HM_C_0.25_final.png", "View Heatmap")</f>
        <v/>
      </c>
    </row>
    <row r="268">
      <c r="A268" t="n">
        <v>103</v>
      </c>
      <c r="B268" t="n">
        <v>0.5</v>
      </c>
      <c r="C268" t="n">
        <v>1.5</v>
      </c>
      <c r="D268" t="n">
        <v>0.4</v>
      </c>
      <c r="E268" t="n">
        <v>1.551666666666667</v>
      </c>
      <c r="F268" t="n">
        <v>2.036111111111111</v>
      </c>
      <c r="G268">
        <f>HYPERLINK("c:\Heatmap Final\Sweep_Results_final\A_0.40\Cost_1.50\HM_C_0.50_final.png", "View Heatmap")</f>
        <v/>
      </c>
    </row>
    <row r="269">
      <c r="A269" t="n">
        <v>104</v>
      </c>
      <c r="B269" t="n">
        <v>0.75</v>
      </c>
      <c r="C269" t="n">
        <v>1.5</v>
      </c>
      <c r="D269" t="n">
        <v>0.4</v>
      </c>
      <c r="E269" t="n">
        <v>1.501111111111111</v>
      </c>
      <c r="F269" t="n">
        <v>2.015</v>
      </c>
      <c r="G269">
        <f>HYPERLINK("c:\Heatmap Final\Sweep_Results_final\A_0.40\Cost_1.50\HM_C_0.75_final.png", "View Heatmap")</f>
        <v/>
      </c>
    </row>
    <row r="270">
      <c r="A270" t="n">
        <v>105</v>
      </c>
      <c r="B270" t="n">
        <v>1</v>
      </c>
      <c r="C270" t="n">
        <v>1.5</v>
      </c>
      <c r="D270" t="n">
        <v>0.4</v>
      </c>
      <c r="E270" t="n">
        <v>0.9844444444444445</v>
      </c>
      <c r="F270" t="n">
        <v>0.985</v>
      </c>
      <c r="G270">
        <f>HYPERLINK("c:\Heatmap Final\Sweep_Results_final\A_0.40\Cost_1.50\HM_C_1.00_final.png", "View Heatmap")</f>
        <v/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</row>
    <row r="272">
      <c r="A272" t="n">
        <v>136</v>
      </c>
      <c r="B272" t="n">
        <v>0</v>
      </c>
      <c r="C272" t="n">
        <v>1.5</v>
      </c>
      <c r="D272" t="n">
        <v>0.55</v>
      </c>
      <c r="E272" t="n">
        <v>0.9166666666666666</v>
      </c>
      <c r="F272" t="n">
        <v>0.9166666666666666</v>
      </c>
      <c r="G272">
        <f>HYPERLINK("c:\Heatmap Final\Sweep_Results_final\A_0.55\Cost_1.50\HM_C_0.00_final.png", "View Heatmap")</f>
        <v/>
      </c>
    </row>
    <row r="273">
      <c r="A273" t="n">
        <v>137</v>
      </c>
      <c r="B273" t="n">
        <v>0.25</v>
      </c>
      <c r="C273" t="n">
        <v>1.5</v>
      </c>
      <c r="D273" t="n">
        <v>0.55</v>
      </c>
      <c r="E273" t="n">
        <v>0.9166666666666666</v>
      </c>
      <c r="F273" t="n">
        <v>0.9166666666666666</v>
      </c>
      <c r="G273">
        <f>HYPERLINK("c:\Heatmap Final\Sweep_Results_final\A_0.55\Cost_1.50\HM_C_0.25_final.png", "View Heatmap")</f>
        <v/>
      </c>
    </row>
    <row r="274">
      <c r="A274" t="n">
        <v>138</v>
      </c>
      <c r="B274" t="n">
        <v>0.5</v>
      </c>
      <c r="C274" t="n">
        <v>1.5</v>
      </c>
      <c r="D274" t="n">
        <v>0.55</v>
      </c>
      <c r="E274" t="n">
        <v>0.9594444444444444</v>
      </c>
      <c r="F274" t="n">
        <v>0.9594444444444444</v>
      </c>
      <c r="G274">
        <f>HYPERLINK("c:\Heatmap Final\Sweep_Results_final\A_0.55\Cost_1.50\HM_C_0.50_final.png", "View Heatmap")</f>
        <v/>
      </c>
    </row>
    <row r="275">
      <c r="A275" t="n">
        <v>139</v>
      </c>
      <c r="B275" t="n">
        <v>0.75</v>
      </c>
      <c r="C275" t="n">
        <v>1.5</v>
      </c>
      <c r="D275" t="n">
        <v>0.55</v>
      </c>
      <c r="E275" t="n">
        <v>1.513333333333333</v>
      </c>
      <c r="F275" t="n">
        <v>2.034444444444445</v>
      </c>
      <c r="G275">
        <f>HYPERLINK("c:\Heatmap Final\Sweep_Results_final\A_0.55\Cost_1.50\HM_C_0.75_final.png", "View Heatmap")</f>
        <v/>
      </c>
    </row>
    <row r="276">
      <c r="A276" t="n">
        <v>140</v>
      </c>
      <c r="B276" t="n">
        <v>1</v>
      </c>
      <c r="C276" t="n">
        <v>1.5</v>
      </c>
      <c r="D276" t="n">
        <v>0.55</v>
      </c>
      <c r="E276" t="n">
        <v>1.027222222222222</v>
      </c>
      <c r="F276" t="n">
        <v>1.027222222222222</v>
      </c>
      <c r="G276">
        <f>HYPERLINK("c:\Heatmap Final\Sweep_Results_final\A_0.55\Cost_1.50\HM_C_1.00_final.png", "View Heatmap")</f>
        <v/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</row>
    <row r="278">
      <c r="A278" t="n">
        <v>171</v>
      </c>
      <c r="B278" t="n">
        <v>0</v>
      </c>
      <c r="C278" t="n">
        <v>1.5</v>
      </c>
      <c r="D278" t="n">
        <v>0.7</v>
      </c>
      <c r="E278" t="n">
        <v>0.9166666666666666</v>
      </c>
      <c r="F278" t="n">
        <v>0.9166666666666666</v>
      </c>
      <c r="G278">
        <f>HYPERLINK("c:\Heatmap Final\Sweep_Results_final\A_0.70\Cost_1.50\HM_C_0.00_final.png", "View Heatmap")</f>
        <v/>
      </c>
    </row>
    <row r="279">
      <c r="A279" t="n">
        <v>172</v>
      </c>
      <c r="B279" t="n">
        <v>0.25</v>
      </c>
      <c r="C279" t="n">
        <v>1.5</v>
      </c>
      <c r="D279" t="n">
        <v>0.7</v>
      </c>
      <c r="E279" t="n">
        <v>0.9166666666666666</v>
      </c>
      <c r="F279" t="n">
        <v>0.9166666666666666</v>
      </c>
      <c r="G279">
        <f>HYPERLINK("c:\Heatmap Final\Sweep_Results_final\A_0.70\Cost_1.50\HM_C_0.25_final.png", "View Heatmap")</f>
        <v/>
      </c>
    </row>
    <row r="280">
      <c r="A280" t="n">
        <v>173</v>
      </c>
      <c r="B280" t="n">
        <v>0.5</v>
      </c>
      <c r="C280" t="n">
        <v>1.5</v>
      </c>
      <c r="D280" t="n">
        <v>0.7</v>
      </c>
      <c r="E280" t="n">
        <v>0.9166666666666666</v>
      </c>
      <c r="F280" t="n">
        <v>0.9166666666666666</v>
      </c>
      <c r="G280">
        <f>HYPERLINK("c:\Heatmap Final\Sweep_Results_final\A_0.70\Cost_1.50\HM_C_0.50_final.png", "View Heatmap")</f>
        <v/>
      </c>
    </row>
    <row r="281">
      <c r="A281" t="n">
        <v>174</v>
      </c>
      <c r="B281" t="n">
        <v>0.75</v>
      </c>
      <c r="C281" t="n">
        <v>1.5</v>
      </c>
      <c r="D281" t="n">
        <v>0.7</v>
      </c>
      <c r="E281" t="n">
        <v>1.190555555555556</v>
      </c>
      <c r="F281" t="n">
        <v>1.217777777777777</v>
      </c>
      <c r="G281">
        <f>HYPERLINK("c:\Heatmap Final\Sweep_Results_final\A_0.70\Cost_1.50\HM_C_0.75_final.png", "View Heatmap")</f>
        <v/>
      </c>
    </row>
    <row r="282">
      <c r="A282" t="n">
        <v>175</v>
      </c>
      <c r="B282" t="n">
        <v>1</v>
      </c>
      <c r="C282" t="n">
        <v>1.5</v>
      </c>
      <c r="D282" t="n">
        <v>0.7</v>
      </c>
      <c r="E282" t="n">
        <v>1.171111111111111</v>
      </c>
      <c r="F282" t="n">
        <v>1.171111111111111</v>
      </c>
      <c r="G282">
        <f>HYPERLINK("c:\Heatmap Final\Sweep_Results_final\A_0.70\Cost_1.50\HM_C_1.00_final.png", "View Heatmap")</f>
        <v/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</row>
    <row r="284">
      <c r="A284" t="n">
        <v>206</v>
      </c>
      <c r="B284" t="n">
        <v>0</v>
      </c>
      <c r="C284" t="n">
        <v>1.5</v>
      </c>
      <c r="D284" t="n">
        <v>0.85</v>
      </c>
      <c r="E284" t="n">
        <v>0.9166666666666666</v>
      </c>
      <c r="F284" t="n">
        <v>0.9166666666666666</v>
      </c>
      <c r="G284">
        <f>HYPERLINK("c:\Heatmap Final\Sweep_Results_final\A_0.85\Cost_1.50\HM_C_0.00_final.png", "View Heatmap")</f>
        <v/>
      </c>
    </row>
    <row r="285">
      <c r="A285" t="n">
        <v>207</v>
      </c>
      <c r="B285" t="n">
        <v>0.25</v>
      </c>
      <c r="C285" t="n">
        <v>1.5</v>
      </c>
      <c r="D285" t="n">
        <v>0.85</v>
      </c>
      <c r="E285" t="n">
        <v>0.9166666666666666</v>
      </c>
      <c r="F285" t="n">
        <v>0.9166666666666666</v>
      </c>
      <c r="G285">
        <f>HYPERLINK("c:\Heatmap Final\Sweep_Results_final\A_0.85\Cost_1.50\HM_C_0.25_final.png", "View Heatmap")</f>
        <v/>
      </c>
    </row>
    <row r="286">
      <c r="A286" t="n">
        <v>208</v>
      </c>
      <c r="B286" t="n">
        <v>0.5</v>
      </c>
      <c r="C286" t="n">
        <v>1.5</v>
      </c>
      <c r="D286" t="n">
        <v>0.85</v>
      </c>
      <c r="E286" t="n">
        <v>0.9166666666666666</v>
      </c>
      <c r="F286" t="n">
        <v>0.9166666666666666</v>
      </c>
      <c r="G286">
        <f>HYPERLINK("c:\Heatmap Final\Sweep_Results_final\A_0.85\Cost_1.50\HM_C_0.50_final.png", "View Heatmap")</f>
        <v/>
      </c>
    </row>
    <row r="287">
      <c r="A287" t="n">
        <v>209</v>
      </c>
      <c r="B287" t="n">
        <v>0.75</v>
      </c>
      <c r="C287" t="n">
        <v>1.5</v>
      </c>
      <c r="D287" t="n">
        <v>0.85</v>
      </c>
      <c r="E287" t="n">
        <v>0.9177777777777776</v>
      </c>
      <c r="F287" t="n">
        <v>0.9177777777777776</v>
      </c>
      <c r="G287">
        <f>HYPERLINK("c:\Heatmap Final\Sweep_Results_final\A_0.85\Cost_1.50\HM_C_0.75_final.png", "View Heatmap")</f>
        <v/>
      </c>
    </row>
    <row r="288">
      <c r="A288" t="n">
        <v>210</v>
      </c>
      <c r="B288" t="n">
        <v>1</v>
      </c>
      <c r="C288" t="n">
        <v>1.5</v>
      </c>
      <c r="D288" t="n">
        <v>0.85</v>
      </c>
      <c r="E288" t="n">
        <v>1.187777777777777</v>
      </c>
      <c r="F288" t="n">
        <v>1.187777777777777</v>
      </c>
      <c r="G288">
        <f>HYPERLINK("c:\Heatmap Final\Sweep_Results_final\A_0.85\Cost_1.50\HM_C_1.00_final.png", "View Heatmap")</f>
        <v/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</row>
    <row r="290">
      <c r="A290" t="n">
        <v>241</v>
      </c>
      <c r="B290" t="n">
        <v>0</v>
      </c>
      <c r="C290" t="n">
        <v>1.5</v>
      </c>
      <c r="D290" t="n">
        <v>1</v>
      </c>
      <c r="E290" t="n">
        <v>0.9166666666666666</v>
      </c>
      <c r="F290" t="n">
        <v>0.9166666666666666</v>
      </c>
      <c r="G290">
        <f>HYPERLINK("c:\Heatmap Final\Sweep_Results_final\A_1.00\Cost_1.50\HM_C_0.00_final.png", "View Heatmap")</f>
        <v/>
      </c>
    </row>
    <row r="291">
      <c r="A291" t="n">
        <v>242</v>
      </c>
      <c r="B291" t="n">
        <v>0.25</v>
      </c>
      <c r="C291" t="n">
        <v>1.5</v>
      </c>
      <c r="D291" t="n">
        <v>1</v>
      </c>
      <c r="E291" t="n">
        <v>0.9166666666666666</v>
      </c>
      <c r="F291" t="n">
        <v>0.9166666666666666</v>
      </c>
      <c r="G291">
        <f>HYPERLINK("c:\Heatmap Final\Sweep_Results_final\A_1.00\Cost_1.50\HM_C_0.25_final.png", "View Heatmap")</f>
        <v/>
      </c>
    </row>
    <row r="292">
      <c r="A292" t="n">
        <v>243</v>
      </c>
      <c r="B292" t="n">
        <v>0.5</v>
      </c>
      <c r="C292" t="n">
        <v>1.5</v>
      </c>
      <c r="D292" t="n">
        <v>1</v>
      </c>
      <c r="E292" t="n">
        <v>0.9166666666666666</v>
      </c>
      <c r="F292" t="n">
        <v>0.9166666666666666</v>
      </c>
      <c r="G292">
        <f>HYPERLINK("c:\Heatmap Final\Sweep_Results_final\A_1.00\Cost_1.50\HM_C_0.50_final.png", "View Heatmap")</f>
        <v/>
      </c>
    </row>
    <row r="293">
      <c r="A293" t="n">
        <v>244</v>
      </c>
      <c r="B293" t="n">
        <v>0.75</v>
      </c>
      <c r="C293" t="n">
        <v>1.5</v>
      </c>
      <c r="D293" t="n">
        <v>1</v>
      </c>
      <c r="E293" t="n">
        <v>0.9166666666666666</v>
      </c>
      <c r="F293" t="n">
        <v>0.9166666666666666</v>
      </c>
      <c r="G293">
        <f>HYPERLINK("c:\Heatmap Final\Sweep_Results_final\A_1.00\Cost_1.50\HM_C_0.75_final.png", "View Heatmap")</f>
        <v/>
      </c>
    </row>
    <row r="294">
      <c r="A294" t="n">
        <v>245</v>
      </c>
      <c r="B294" t="n">
        <v>1</v>
      </c>
      <c r="C294" t="n">
        <v>1.5</v>
      </c>
      <c r="D294" t="n">
        <v>1</v>
      </c>
      <c r="E294" t="n">
        <v>1.208333333333334</v>
      </c>
      <c r="F294" t="n">
        <v>1.208333333333334</v>
      </c>
      <c r="G294">
        <f>HYPERLINK("c:\Heatmap Final\Sweep_Results_final\A_1.00\Cost_1.50\HM_C_1.00_final.png", "View Heatmap")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2026-03-04T14:40:56Z</dcterms:created>
  <dcterms:modified xsi:type="dcterms:W3CDTF">2026-03-04T14:40:56Z</dcterms:modified>
</cp:coreProperties>
</file>